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8"/>
  <workbookPr/>
  <mc:AlternateContent xmlns:mc="http://schemas.openxmlformats.org/markup-compatibility/2006">
    <mc:Choice Requires="x15">
      <x15ac:absPath xmlns:x15ac="http://schemas.microsoft.com/office/spreadsheetml/2010/11/ac" url="https://pern-my.sharepoint.com/personal/muhammad_2842981_talmeez_pk/Documents/HecOneDrivedata/IUB/Fall 2024/Result/MA/"/>
    </mc:Choice>
  </mc:AlternateContent>
  <xr:revisionPtr revIDLastSave="0" documentId="8_{D522C446-76E6-4D9D-8905-C7F47048CF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" i="1" l="1"/>
  <c r="Y9" i="1"/>
  <c r="Y8" i="1"/>
  <c r="Y7" i="1"/>
  <c r="Y6" i="1"/>
  <c r="R76" i="1"/>
  <c r="Q76" i="1"/>
  <c r="P76" i="1"/>
  <c r="U76" i="1" s="1"/>
  <c r="R75" i="1"/>
  <c r="Q75" i="1"/>
  <c r="P75" i="1"/>
  <c r="U75" i="1" s="1"/>
  <c r="R74" i="1"/>
  <c r="Q74" i="1"/>
  <c r="P74" i="1"/>
  <c r="U74" i="1" s="1"/>
  <c r="R73" i="1"/>
  <c r="Q73" i="1"/>
  <c r="P73" i="1"/>
  <c r="U73" i="1" s="1"/>
  <c r="R72" i="1"/>
  <c r="Q72" i="1"/>
  <c r="P72" i="1"/>
  <c r="U72" i="1" s="1"/>
  <c r="R71" i="1"/>
  <c r="Q71" i="1"/>
  <c r="P71" i="1"/>
  <c r="U71" i="1" s="1"/>
  <c r="R70" i="1"/>
  <c r="Q70" i="1"/>
  <c r="P70" i="1"/>
  <c r="U70" i="1" s="1"/>
  <c r="R69" i="1"/>
  <c r="Q69" i="1"/>
  <c r="P69" i="1"/>
  <c r="U69" i="1" s="1"/>
  <c r="R68" i="1"/>
  <c r="Q68" i="1"/>
  <c r="P68" i="1"/>
  <c r="U68" i="1" s="1"/>
  <c r="R67" i="1"/>
  <c r="Q67" i="1"/>
  <c r="P67" i="1"/>
  <c r="U67" i="1" s="1"/>
  <c r="R66" i="1"/>
  <c r="Q66" i="1"/>
  <c r="P66" i="1"/>
  <c r="U66" i="1" s="1"/>
  <c r="R65" i="1"/>
  <c r="Q65" i="1"/>
  <c r="P65" i="1"/>
  <c r="U65" i="1" s="1"/>
  <c r="R64" i="1"/>
  <c r="Q64" i="1"/>
  <c r="P64" i="1"/>
  <c r="U64" i="1" s="1"/>
  <c r="R63" i="1"/>
  <c r="Q63" i="1"/>
  <c r="P63" i="1"/>
  <c r="U63" i="1" s="1"/>
  <c r="R62" i="1"/>
  <c r="Q62" i="1"/>
  <c r="P62" i="1"/>
  <c r="U62" i="1" s="1"/>
  <c r="R61" i="1"/>
  <c r="Q61" i="1"/>
  <c r="P61" i="1"/>
  <c r="U61" i="1" s="1"/>
  <c r="R60" i="1"/>
  <c r="Q60" i="1"/>
  <c r="U60" i="1" s="1"/>
  <c r="P60" i="1"/>
  <c r="R59" i="1"/>
  <c r="Q59" i="1"/>
  <c r="P59" i="1"/>
  <c r="U59" i="1" s="1"/>
  <c r="R58" i="1"/>
  <c r="Q58" i="1"/>
  <c r="P58" i="1"/>
  <c r="U58" i="1" s="1"/>
  <c r="R57" i="1"/>
  <c r="Q57" i="1"/>
  <c r="P57" i="1"/>
  <c r="U57" i="1" s="1"/>
  <c r="R56" i="1"/>
  <c r="Q56" i="1"/>
  <c r="P56" i="1"/>
  <c r="U56" i="1" s="1"/>
  <c r="R55" i="1"/>
  <c r="Q55" i="1"/>
  <c r="P55" i="1"/>
  <c r="U55" i="1" s="1"/>
  <c r="R54" i="1"/>
  <c r="Q54" i="1"/>
  <c r="P54" i="1"/>
  <c r="U54" i="1" s="1"/>
  <c r="R53" i="1"/>
  <c r="Q53" i="1"/>
  <c r="P53" i="1"/>
  <c r="U53" i="1" s="1"/>
  <c r="R52" i="1"/>
  <c r="Q52" i="1"/>
  <c r="P52" i="1"/>
  <c r="U52" i="1" s="1"/>
  <c r="R51" i="1"/>
  <c r="Q51" i="1"/>
  <c r="P51" i="1"/>
  <c r="U51" i="1" s="1"/>
  <c r="R50" i="1"/>
  <c r="Q50" i="1"/>
  <c r="P50" i="1"/>
  <c r="U50" i="1" s="1"/>
  <c r="R49" i="1"/>
  <c r="Q49" i="1"/>
  <c r="P49" i="1"/>
  <c r="U49" i="1" s="1"/>
  <c r="R48" i="1"/>
  <c r="Q48" i="1"/>
  <c r="P48" i="1"/>
  <c r="U48" i="1" s="1"/>
  <c r="R47" i="1"/>
  <c r="Q47" i="1"/>
  <c r="P47" i="1"/>
  <c r="U47" i="1" s="1"/>
  <c r="U46" i="1"/>
  <c r="R46" i="1"/>
  <c r="Q46" i="1"/>
  <c r="P46" i="1"/>
  <c r="R45" i="1"/>
  <c r="Q45" i="1"/>
  <c r="P45" i="1"/>
  <c r="U45" i="1" s="1"/>
  <c r="R44" i="1"/>
  <c r="Q44" i="1"/>
  <c r="P44" i="1"/>
  <c r="U44" i="1" s="1"/>
  <c r="R43" i="1"/>
  <c r="Q43" i="1"/>
  <c r="P43" i="1"/>
  <c r="U43" i="1" s="1"/>
  <c r="R42" i="1"/>
  <c r="Q42" i="1"/>
  <c r="P42" i="1"/>
  <c r="U42" i="1" s="1"/>
  <c r="R41" i="1"/>
  <c r="Q41" i="1"/>
  <c r="P41" i="1"/>
  <c r="U41" i="1" s="1"/>
  <c r="R40" i="1"/>
  <c r="Q40" i="1"/>
  <c r="P40" i="1"/>
  <c r="U40" i="1" s="1"/>
  <c r="R39" i="1"/>
  <c r="Q39" i="1"/>
  <c r="P39" i="1"/>
  <c r="U39" i="1" s="1"/>
  <c r="R38" i="1"/>
  <c r="Q38" i="1"/>
  <c r="P38" i="1"/>
  <c r="U38" i="1" s="1"/>
  <c r="R37" i="1"/>
  <c r="Q37" i="1"/>
  <c r="P37" i="1"/>
  <c r="U37" i="1" s="1"/>
  <c r="R36" i="1"/>
  <c r="Q36" i="1"/>
  <c r="P36" i="1"/>
  <c r="U36" i="1" s="1"/>
  <c r="R35" i="1"/>
  <c r="Q35" i="1"/>
  <c r="P35" i="1"/>
  <c r="U35" i="1" s="1"/>
  <c r="R34" i="1"/>
  <c r="Q34" i="1"/>
  <c r="P34" i="1"/>
  <c r="U34" i="1" s="1"/>
  <c r="R33" i="1"/>
  <c r="Q33" i="1"/>
  <c r="P33" i="1"/>
  <c r="U33" i="1" s="1"/>
  <c r="R32" i="1"/>
  <c r="Q32" i="1"/>
  <c r="P32" i="1"/>
  <c r="U32" i="1" s="1"/>
  <c r="R31" i="1"/>
  <c r="Q31" i="1"/>
  <c r="P31" i="1"/>
  <c r="U31" i="1" s="1"/>
  <c r="R30" i="1"/>
  <c r="Q30" i="1"/>
  <c r="P30" i="1"/>
  <c r="U30" i="1" s="1"/>
  <c r="R29" i="1"/>
  <c r="Q29" i="1"/>
  <c r="P29" i="1"/>
  <c r="U29" i="1" s="1"/>
  <c r="R28" i="1"/>
  <c r="Q28" i="1"/>
  <c r="P28" i="1"/>
  <c r="U28" i="1" s="1"/>
  <c r="R27" i="1"/>
  <c r="Q27" i="1"/>
  <c r="P27" i="1"/>
  <c r="U27" i="1" s="1"/>
  <c r="R26" i="1"/>
  <c r="Q26" i="1"/>
  <c r="P26" i="1"/>
  <c r="U26" i="1" s="1"/>
  <c r="R25" i="1"/>
  <c r="Q25" i="1"/>
  <c r="P25" i="1"/>
  <c r="U25" i="1" s="1"/>
  <c r="R24" i="1"/>
  <c r="Q24" i="1"/>
  <c r="P24" i="1"/>
  <c r="U24" i="1" s="1"/>
  <c r="R23" i="1"/>
  <c r="Q23" i="1"/>
  <c r="P23" i="1"/>
  <c r="U23" i="1" s="1"/>
  <c r="R22" i="1"/>
  <c r="Q22" i="1"/>
  <c r="P22" i="1"/>
  <c r="U22" i="1" s="1"/>
  <c r="R21" i="1"/>
  <c r="Q21" i="1"/>
  <c r="P21" i="1"/>
  <c r="U21" i="1" s="1"/>
  <c r="R20" i="1"/>
  <c r="Q20" i="1"/>
  <c r="P20" i="1"/>
  <c r="U20" i="1" s="1"/>
  <c r="R19" i="1"/>
  <c r="Q19" i="1"/>
  <c r="P19" i="1"/>
  <c r="U19" i="1" s="1"/>
  <c r="R18" i="1"/>
  <c r="Q18" i="1"/>
  <c r="P18" i="1"/>
  <c r="U18" i="1" s="1"/>
  <c r="R17" i="1"/>
  <c r="Q17" i="1"/>
  <c r="P17" i="1"/>
  <c r="U17" i="1" s="1"/>
  <c r="R16" i="1"/>
  <c r="Q16" i="1"/>
  <c r="P16" i="1"/>
  <c r="U16" i="1" s="1"/>
  <c r="R15" i="1"/>
  <c r="Q15" i="1"/>
  <c r="P15" i="1"/>
  <c r="U15" i="1" s="1"/>
  <c r="R14" i="1"/>
  <c r="Q14" i="1"/>
  <c r="P14" i="1"/>
  <c r="U14" i="1" s="1"/>
  <c r="R13" i="1"/>
  <c r="Q13" i="1"/>
  <c r="P13" i="1"/>
  <c r="U13" i="1" s="1"/>
  <c r="R12" i="1"/>
  <c r="Q12" i="1"/>
  <c r="P12" i="1"/>
  <c r="U12" i="1" s="1"/>
  <c r="R11" i="1"/>
  <c r="Q11" i="1"/>
  <c r="P11" i="1"/>
  <c r="U11" i="1" s="1"/>
  <c r="R10" i="1"/>
  <c r="Q10" i="1"/>
  <c r="P10" i="1"/>
  <c r="U10" i="1" s="1"/>
  <c r="R9" i="1"/>
  <c r="Q9" i="1"/>
  <c r="P9" i="1"/>
  <c r="U9" i="1" s="1"/>
  <c r="R8" i="1"/>
  <c r="Q8" i="1"/>
  <c r="P8" i="1"/>
  <c r="U8" i="1" s="1"/>
  <c r="R7" i="1"/>
  <c r="Q7" i="1"/>
  <c r="P7" i="1"/>
  <c r="U7" i="1" s="1"/>
  <c r="R6" i="1"/>
  <c r="Q6" i="1"/>
  <c r="P6" i="1"/>
  <c r="U6" i="1" s="1"/>
  <c r="R5" i="1"/>
  <c r="Q5" i="1"/>
  <c r="P5" i="1"/>
  <c r="U5" i="1" s="1"/>
  <c r="I73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J73" i="1"/>
  <c r="H73" i="1"/>
  <c r="J72" i="1"/>
  <c r="H72" i="1"/>
  <c r="G72" i="1"/>
  <c r="J71" i="1"/>
  <c r="H71" i="1"/>
  <c r="G71" i="1"/>
  <c r="J70" i="1"/>
  <c r="H70" i="1"/>
  <c r="G70" i="1"/>
  <c r="J69" i="1"/>
  <c r="H69" i="1"/>
  <c r="G69" i="1"/>
  <c r="J68" i="1"/>
  <c r="H68" i="1"/>
  <c r="G68" i="1"/>
  <c r="J67" i="1"/>
  <c r="H67" i="1"/>
  <c r="G67" i="1"/>
  <c r="J66" i="1"/>
  <c r="H66" i="1"/>
  <c r="G66" i="1"/>
  <c r="J65" i="1"/>
  <c r="H65" i="1"/>
  <c r="J64" i="1"/>
  <c r="H64" i="1"/>
  <c r="G64" i="1"/>
  <c r="J63" i="1"/>
  <c r="H63" i="1"/>
  <c r="G63" i="1"/>
  <c r="J62" i="1"/>
  <c r="H62" i="1"/>
  <c r="G62" i="1"/>
  <c r="J61" i="1"/>
  <c r="H61" i="1"/>
  <c r="G61" i="1"/>
  <c r="H60" i="1"/>
  <c r="G60" i="1"/>
  <c r="J59" i="1"/>
  <c r="H59" i="1"/>
  <c r="G59" i="1"/>
  <c r="J58" i="1"/>
  <c r="H58" i="1"/>
  <c r="G58" i="1"/>
  <c r="J57" i="1"/>
  <c r="H57" i="1"/>
  <c r="G57" i="1"/>
  <c r="J56" i="1"/>
  <c r="H56" i="1"/>
  <c r="G56" i="1"/>
  <c r="J55" i="1"/>
  <c r="H55" i="1"/>
  <c r="G55" i="1"/>
  <c r="J54" i="1"/>
  <c r="H54" i="1"/>
  <c r="G54" i="1"/>
  <c r="J53" i="1"/>
  <c r="H53" i="1"/>
  <c r="G53" i="1"/>
  <c r="J52" i="1"/>
  <c r="H52" i="1"/>
  <c r="G52" i="1"/>
  <c r="J51" i="1"/>
  <c r="H51" i="1"/>
  <c r="G51" i="1"/>
  <c r="J50" i="1"/>
  <c r="H50" i="1"/>
  <c r="G50" i="1"/>
  <c r="J49" i="1"/>
  <c r="H49" i="1"/>
  <c r="G49" i="1"/>
  <c r="J48" i="1"/>
  <c r="H48" i="1"/>
  <c r="G48" i="1"/>
  <c r="J47" i="1"/>
  <c r="H47" i="1"/>
  <c r="G47" i="1"/>
  <c r="J46" i="1"/>
  <c r="H46" i="1"/>
  <c r="G46" i="1"/>
  <c r="J45" i="1"/>
  <c r="H45" i="1"/>
  <c r="G45" i="1"/>
  <c r="J44" i="1"/>
  <c r="H44" i="1"/>
  <c r="G44" i="1"/>
  <c r="J43" i="1"/>
  <c r="H43" i="1"/>
  <c r="G43" i="1"/>
  <c r="J42" i="1"/>
  <c r="H42" i="1"/>
  <c r="G42" i="1"/>
  <c r="J41" i="1"/>
  <c r="H41" i="1"/>
  <c r="G41" i="1"/>
  <c r="J40" i="1"/>
  <c r="H40" i="1"/>
  <c r="J39" i="1"/>
  <c r="H39" i="1"/>
  <c r="G39" i="1"/>
  <c r="J38" i="1"/>
  <c r="H38" i="1"/>
  <c r="G38" i="1"/>
  <c r="J37" i="1"/>
  <c r="H37" i="1"/>
  <c r="G37" i="1"/>
  <c r="J36" i="1"/>
  <c r="H36" i="1"/>
  <c r="G36" i="1"/>
  <c r="J35" i="1"/>
  <c r="H35" i="1"/>
  <c r="G35" i="1"/>
  <c r="J34" i="1"/>
  <c r="H34" i="1"/>
  <c r="G34" i="1"/>
  <c r="J33" i="1"/>
  <c r="H33" i="1"/>
  <c r="G33" i="1"/>
  <c r="J32" i="1"/>
  <c r="H32" i="1"/>
  <c r="G32" i="1"/>
  <c r="J31" i="1"/>
  <c r="H31" i="1"/>
  <c r="G31" i="1"/>
  <c r="J30" i="1"/>
  <c r="H30" i="1"/>
  <c r="G30" i="1"/>
  <c r="J29" i="1"/>
  <c r="H29" i="1"/>
  <c r="G29" i="1"/>
  <c r="J28" i="1"/>
  <c r="H28" i="1"/>
  <c r="G28" i="1"/>
  <c r="J27" i="1"/>
  <c r="H27" i="1"/>
  <c r="G27" i="1"/>
  <c r="J26" i="1"/>
  <c r="H26" i="1"/>
  <c r="G26" i="1"/>
  <c r="J25" i="1"/>
  <c r="H25" i="1"/>
  <c r="G25" i="1"/>
  <c r="J24" i="1"/>
  <c r="H24" i="1"/>
  <c r="G24" i="1"/>
  <c r="J23" i="1"/>
  <c r="H23" i="1"/>
  <c r="G23" i="1"/>
  <c r="J22" i="1"/>
  <c r="H22" i="1"/>
  <c r="G22" i="1"/>
  <c r="J21" i="1"/>
  <c r="H21" i="1"/>
  <c r="G21" i="1"/>
  <c r="J20" i="1"/>
  <c r="H20" i="1"/>
  <c r="G20" i="1"/>
  <c r="J19" i="1"/>
  <c r="H19" i="1"/>
  <c r="G19" i="1"/>
  <c r="J18" i="1"/>
  <c r="H18" i="1"/>
  <c r="G18" i="1"/>
  <c r="J17" i="1"/>
  <c r="H17" i="1"/>
  <c r="G17" i="1"/>
  <c r="J16" i="1"/>
  <c r="H16" i="1"/>
  <c r="G16" i="1"/>
  <c r="J15" i="1"/>
  <c r="H15" i="1"/>
  <c r="G15" i="1"/>
  <c r="J14" i="1"/>
  <c r="H14" i="1"/>
  <c r="G14" i="1"/>
  <c r="J13" i="1"/>
  <c r="H13" i="1"/>
  <c r="G13" i="1"/>
  <c r="J12" i="1"/>
  <c r="H12" i="1"/>
  <c r="G12" i="1"/>
  <c r="J11" i="1"/>
  <c r="H11" i="1"/>
  <c r="G11" i="1"/>
  <c r="J10" i="1"/>
  <c r="H10" i="1"/>
  <c r="G10" i="1"/>
  <c r="J9" i="1"/>
  <c r="H9" i="1"/>
  <c r="G9" i="1"/>
  <c r="J8" i="1"/>
  <c r="H8" i="1"/>
  <c r="G8" i="1"/>
  <c r="J7" i="1"/>
  <c r="H7" i="1"/>
  <c r="G7" i="1"/>
  <c r="J6" i="1"/>
  <c r="H6" i="1"/>
  <c r="G6" i="1"/>
  <c r="J5" i="1"/>
  <c r="I5" i="1"/>
  <c r="H5" i="1"/>
  <c r="G5" i="1"/>
  <c r="L65" i="1" l="1"/>
</calcChain>
</file>

<file path=xl/sharedStrings.xml><?xml version="1.0" encoding="utf-8"?>
<sst xmlns="http://schemas.openxmlformats.org/spreadsheetml/2006/main" count="180" uniqueCount="165">
  <si>
    <t>Database Systems</t>
  </si>
  <si>
    <t>MA</t>
  </si>
  <si>
    <t>Sample Marks distribution and weightage in 3+1 course</t>
  </si>
  <si>
    <t>Actual Marks in paper out of 100</t>
  </si>
  <si>
    <t>weightage 75 in course</t>
  </si>
  <si>
    <t>weightage 25 in course</t>
  </si>
  <si>
    <t>Sr #</t>
  </si>
  <si>
    <t>Reg #</t>
  </si>
  <si>
    <t>Student Name</t>
  </si>
  <si>
    <t>Sessional</t>
  </si>
  <si>
    <t>Mid Term</t>
  </si>
  <si>
    <t>End Term</t>
  </si>
  <si>
    <t>Practical via+Demo+report</t>
  </si>
  <si>
    <t>Datacamp</t>
  </si>
  <si>
    <t>Total Marks</t>
  </si>
  <si>
    <t>Summary</t>
  </si>
  <si>
    <t>KHALID                      AHMED</t>
  </si>
  <si>
    <t>S23BDOCS1M01003</t>
  </si>
  <si>
    <t>SAFIA AKHTER</t>
  </si>
  <si>
    <t>S23BDOCS1M01004</t>
  </si>
  <si>
    <t>Average</t>
  </si>
  <si>
    <t>ABDUL                  BASIT</t>
  </si>
  <si>
    <t>S23BDOCS1M01005</t>
  </si>
  <si>
    <t>Max</t>
  </si>
  <si>
    <t>AYESHA                  TOUSEEF</t>
  </si>
  <si>
    <t>S23BDOCS1M01006</t>
  </si>
  <si>
    <t>Min</t>
  </si>
  <si>
    <t>AMAN ULLAH</t>
  </si>
  <si>
    <t>S23BDOCS1M01007</t>
  </si>
  <si>
    <t>Count A</t>
  </si>
  <si>
    <t>ALEESHA ASHRAF</t>
  </si>
  <si>
    <t>S23BDOCS1M01010</t>
  </si>
  <si>
    <t>Count F</t>
  </si>
  <si>
    <t>MUHAMMAD  ASAD              GHOURI</t>
  </si>
  <si>
    <t>S23BDOCS1M01011</t>
  </si>
  <si>
    <t>LAIBA  REHMAN</t>
  </si>
  <si>
    <t>S23BDOCS1M01012</t>
  </si>
  <si>
    <t>GUL                HASSAN</t>
  </si>
  <si>
    <t>S23BDOCS1M01013</t>
  </si>
  <si>
    <t>SAIRA KANWAL</t>
  </si>
  <si>
    <t>S23BDOCS1M01014</t>
  </si>
  <si>
    <t>NAEEM ASLAM</t>
  </si>
  <si>
    <t>S23BDOCS1M01015</t>
  </si>
  <si>
    <t>IFRA AKBAR</t>
  </si>
  <si>
    <t>S23BDOCS1M01016</t>
  </si>
  <si>
    <t>MARYAM  RIASAT</t>
  </si>
  <si>
    <t>S23BDOCS1M01018</t>
  </si>
  <si>
    <t>HADIA  ABBAS</t>
  </si>
  <si>
    <t>S23BDOCS1M01020</t>
  </si>
  <si>
    <t>ADEEL  AHMAD</t>
  </si>
  <si>
    <t>S23BDOCS1M01021</t>
  </si>
  <si>
    <t>MAHEEN  BUKHARI</t>
  </si>
  <si>
    <t>S23BDOCS1M01022</t>
  </si>
  <si>
    <t>NASEEB  IQBAL</t>
  </si>
  <si>
    <t>S23BDOCS1M01023</t>
  </si>
  <si>
    <t>TUBA FATIMA</t>
  </si>
  <si>
    <t>S23BDOCS1M01024</t>
  </si>
  <si>
    <t>KHURRAM SHAHZAD</t>
  </si>
  <si>
    <t>S23BDOCS1M01025</t>
  </si>
  <si>
    <t>KHADIJA HANIF</t>
  </si>
  <si>
    <t>S23BDOCS1M01026</t>
  </si>
  <si>
    <t>MUHAMMAD MUNEEB TAHIR</t>
  </si>
  <si>
    <t>S23BDOCS1M01027</t>
  </si>
  <si>
    <t>WARDA ASIF</t>
  </si>
  <si>
    <t>S23BDOCS1M01028</t>
  </si>
  <si>
    <t>MUZAMMIL  KHALID</t>
  </si>
  <si>
    <t>S23BDOCS1M01029</t>
  </si>
  <si>
    <t xml:space="preserve">AIMEN ARSHAD  </t>
  </si>
  <si>
    <t>S23BDOCS1M01030</t>
  </si>
  <si>
    <t>MISBAH IRSHAD</t>
  </si>
  <si>
    <t>S23BDOCS1M01032</t>
  </si>
  <si>
    <t>AIMEN EMAN</t>
  </si>
  <si>
    <t>S23BDOCS1M01034</t>
  </si>
  <si>
    <t>AYESHA SANA</t>
  </si>
  <si>
    <t>S23BDOCS1M01036</t>
  </si>
  <si>
    <t>ALI RAZA</t>
  </si>
  <si>
    <t>S23BDOCS1M01037</t>
  </si>
  <si>
    <t>MUKESA SULEMAN</t>
  </si>
  <si>
    <t>S23BDOCS1M01038</t>
  </si>
  <si>
    <t>MUHAMMAD AZHAR</t>
  </si>
  <si>
    <t>S23BDOCS1M01039</t>
  </si>
  <si>
    <t>MOMNA KHALID</t>
  </si>
  <si>
    <t>S23BDOCS1M01040</t>
  </si>
  <si>
    <t>MUHAMMAD SAQIB</t>
  </si>
  <si>
    <t>S23BDOCS1M01041</t>
  </si>
  <si>
    <t>ABUBAKR  TAIMOOR</t>
  </si>
  <si>
    <t>S23BDOCS1M01043</t>
  </si>
  <si>
    <t>AIMA AZIZ</t>
  </si>
  <si>
    <t>S23BDOCS1M01044</t>
  </si>
  <si>
    <t>KASHIF FIAZ</t>
  </si>
  <si>
    <t>S23BDOCS1M01045</t>
  </si>
  <si>
    <t>RANA MUHAMMAD ABDULLAH</t>
  </si>
  <si>
    <t>S23BDOCS1M01047</t>
  </si>
  <si>
    <t xml:space="preserve">HAMNA EMAN </t>
  </si>
  <si>
    <t>S23BDOCS1M01048</t>
  </si>
  <si>
    <t>MUHAMMAD  MUDASSIR</t>
  </si>
  <si>
    <t>S23BDOCS1M01049</t>
  </si>
  <si>
    <t>SEHER GUL</t>
  </si>
  <si>
    <t>S23BDOCS1M01050</t>
  </si>
  <si>
    <t>MUHAMMAD TALHA ZAFAR</t>
  </si>
  <si>
    <t>S23BDOCS1M01051</t>
  </si>
  <si>
    <t>ALVEENA                       MEHBOOB</t>
  </si>
  <si>
    <t>S23BDOCS1M01052</t>
  </si>
  <si>
    <t>MUHAMMAD BILAL</t>
  </si>
  <si>
    <t>S23BDOCS1M01053</t>
  </si>
  <si>
    <t>FARAH JABEEN</t>
  </si>
  <si>
    <t>S23BDOCS1M01054</t>
  </si>
  <si>
    <t>MUHAMMAD SHAHRYAR ZAFAR</t>
  </si>
  <si>
    <t>S23BDOCS1M01055</t>
  </si>
  <si>
    <t>UJALA SATTAR</t>
  </si>
  <si>
    <t>S23BDOCS1M01056</t>
  </si>
  <si>
    <t>NOOR UL HUDA</t>
  </si>
  <si>
    <t>S23BDOCS1M01058</t>
  </si>
  <si>
    <t>ABDULLAH BIN         MASOOD</t>
  </si>
  <si>
    <t>S23BDOCS1M01061</t>
  </si>
  <si>
    <t>MARYAM  KANWAL</t>
  </si>
  <si>
    <t>S23BDOCS1M01062</t>
  </si>
  <si>
    <t>MUHAMMAD  WAQAS</t>
  </si>
  <si>
    <t>S23BDOCS1M01063</t>
  </si>
  <si>
    <t>MEMOONA  NASIR</t>
  </si>
  <si>
    <t>S23BDOCS1M01064</t>
  </si>
  <si>
    <t>MUHAMMAD SUFYAN</t>
  </si>
  <si>
    <t>S23BDOCS1M01065</t>
  </si>
  <si>
    <t>AREEB MUSTAFA</t>
  </si>
  <si>
    <t>S23BDOCS1M01067</t>
  </si>
  <si>
    <t>SUMAIRA                   ILYAS</t>
  </si>
  <si>
    <t>S23BDOCS1M01068</t>
  </si>
  <si>
    <t>SOBIA SUMAN</t>
  </si>
  <si>
    <t>S23BDOCS1M01072</t>
  </si>
  <si>
    <t>MUHAMMAD  HARIS                         QASIM</t>
  </si>
  <si>
    <t>S23BDOCS1M01114</t>
  </si>
  <si>
    <t>MUHAMMAD JAMSHAID</t>
  </si>
  <si>
    <t>S23BDOCS1M01161</t>
  </si>
  <si>
    <t>ADIL  MAHMOOD</t>
  </si>
  <si>
    <t>S23BDOCS1M01175</t>
  </si>
  <si>
    <t>IRFAN  RAHIM</t>
  </si>
  <si>
    <t>S23BDOCS1M01197</t>
  </si>
  <si>
    <t>SHAHZAIB  NAWAZ</t>
  </si>
  <si>
    <t>S23BDOCS1M01198</t>
  </si>
  <si>
    <t>MUHAMMAD  FARHAN</t>
  </si>
  <si>
    <t>S23BDOCS1E02118</t>
  </si>
  <si>
    <t>MUHAMMAD HANAN SAJID</t>
  </si>
  <si>
    <t>S23BDOCS1M01230</t>
  </si>
  <si>
    <t>HAFIZ ALLAH BACHAYA</t>
  </si>
  <si>
    <t>S23BDOCS1M01031</t>
  </si>
  <si>
    <t>MUHAMMAD TAUHEED NASEER</t>
  </si>
  <si>
    <t>F22BDOCS1E02111</t>
  </si>
  <si>
    <t>HAMZA SHAHZAD</t>
  </si>
  <si>
    <t>F22BDOCS1E02033</t>
  </si>
  <si>
    <t>MUHAMMAD ZAIN</t>
  </si>
  <si>
    <t>F22BDOCS1E02176</t>
  </si>
  <si>
    <t>MUHAMMAD SAIM</t>
  </si>
  <si>
    <t>F22BDOCS1E02170</t>
  </si>
  <si>
    <t>ALI  MOAZAM</t>
  </si>
  <si>
    <t>F22BDOCS1M01197</t>
  </si>
  <si>
    <t>MUHAMMAD TEHSEEN NAWAZ</t>
  </si>
  <si>
    <t>S22BDOCS1M01172</t>
  </si>
  <si>
    <t>MUHAMMAD  SOHAIL</t>
  </si>
  <si>
    <t>S22BDOCS1M01178</t>
  </si>
  <si>
    <t>MUHAMMAD FAHAD</t>
  </si>
  <si>
    <t>F22BDOCS1M01107</t>
  </si>
  <si>
    <t>UMAIR  ANJUM</t>
  </si>
  <si>
    <t>F22BDOCS1M01227</t>
  </si>
  <si>
    <t>FURQAN  KARIM</t>
  </si>
  <si>
    <t>S22BDOCS1M01075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</si>
</sst>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</font>
    <font>
      <sz val="22"/>
      <name val="Calibri"/>
      <family val="2"/>
    </font>
    <font>
      <sz val="22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0" fillId="4" borderId="2" xfId="0" applyFill="1" applyBorder="1" applyAlignment="1">
      <alignment horizontal="center"/>
    </xf>
    <xf numFmtId="10" fontId="0" fillId="5" borderId="2" xfId="0" applyNumberFormat="1" applyFill="1" applyBorder="1"/>
    <xf numFmtId="0" fontId="1" fillId="0" borderId="0" xfId="0" applyFont="1"/>
    <xf numFmtId="0" fontId="1" fillId="4" borderId="2" xfId="0" applyFont="1" applyFill="1" applyBorder="1"/>
    <xf numFmtId="0" fontId="1" fillId="5" borderId="2" xfId="0" applyFont="1" applyFill="1" applyBorder="1"/>
    <xf numFmtId="0" fontId="1" fillId="5" borderId="2" xfId="0" applyFont="1" applyFill="1" applyBorder="1" applyAlignment="1">
      <alignment wrapText="1"/>
    </xf>
    <xf numFmtId="2" fontId="0" fillId="5" borderId="2" xfId="0" applyNumberForma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2" fontId="0" fillId="5" borderId="6" xfId="0" applyNumberFormat="1" applyFill="1" applyBorder="1" applyAlignment="1">
      <alignment horizontal="center"/>
    </xf>
    <xf numFmtId="2" fontId="0" fillId="0" borderId="0" xfId="0" applyNumberFormat="1"/>
    <xf numFmtId="0" fontId="4" fillId="4" borderId="2" xfId="0" applyFont="1" applyFill="1" applyBorder="1"/>
    <xf numFmtId="0" fontId="4" fillId="5" borderId="2" xfId="0" applyFont="1" applyFill="1" applyBorder="1"/>
    <xf numFmtId="0" fontId="4" fillId="5" borderId="2" xfId="0" applyFont="1" applyFill="1" applyBorder="1" applyAlignment="1">
      <alignment wrapText="1"/>
    </xf>
    <xf numFmtId="0" fontId="4" fillId="0" borderId="0" xfId="0" applyFont="1"/>
    <xf numFmtId="0" fontId="0" fillId="0" borderId="2" xfId="0" applyBorder="1"/>
    <xf numFmtId="2" fontId="0" fillId="0" borderId="2" xfId="0" applyNumberFormat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ern-my.sharepoint.com/personal/muhammad_2842981_talmeez_pk/Documents/HecOneDrivedata/IUB/Fall%202024/RDBMS/Database_MA_Project_Schedule.xlsx" TargetMode="External"/><Relationship Id="rId1" Type="http://schemas.openxmlformats.org/officeDocument/2006/relationships/externalLinkPath" Target="/personal/muhammad_2842981_talmeez_pk/Documents/HecOneDrivedata/IUB/Fall%202024/RDBMS/Database_MA_Project_Schedu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9">
          <cell r="B9" t="str">
            <v>S23BDOCS1M01003</v>
          </cell>
          <cell r="C9" t="str">
            <v>KHALID                      AHMED</v>
          </cell>
          <cell r="D9">
            <v>0.375</v>
          </cell>
          <cell r="E9">
            <v>5</v>
          </cell>
          <cell r="F9">
            <v>9</v>
          </cell>
          <cell r="G9">
            <v>5</v>
          </cell>
          <cell r="H9">
            <v>19</v>
          </cell>
        </row>
        <row r="10">
          <cell r="B10" t="str">
            <v>S23BDOCS1M01004</v>
          </cell>
          <cell r="C10" t="str">
            <v>SAFIA AKHTER</v>
          </cell>
          <cell r="D10"/>
          <cell r="E10">
            <v>3</v>
          </cell>
          <cell r="F10">
            <v>7</v>
          </cell>
          <cell r="G10">
            <v>5</v>
          </cell>
          <cell r="H10">
            <v>15</v>
          </cell>
        </row>
        <row r="11">
          <cell r="B11" t="str">
            <v>S23BDOCS1M01005</v>
          </cell>
          <cell r="C11" t="str">
            <v>ABDUL                  BASIT</v>
          </cell>
          <cell r="D11">
            <v>0.38194444444444442</v>
          </cell>
          <cell r="E11">
            <v>5</v>
          </cell>
          <cell r="F11">
            <v>8</v>
          </cell>
          <cell r="G11">
            <v>5</v>
          </cell>
          <cell r="H11">
            <v>18</v>
          </cell>
        </row>
        <row r="12">
          <cell r="B12" t="str">
            <v>S23BDOCS1M01006</v>
          </cell>
          <cell r="C12" t="str">
            <v>AYESHA                  TOUSEEF</v>
          </cell>
          <cell r="D12"/>
          <cell r="E12">
            <v>4</v>
          </cell>
          <cell r="F12">
            <v>8</v>
          </cell>
          <cell r="G12">
            <v>5</v>
          </cell>
          <cell r="H12">
            <v>17</v>
          </cell>
        </row>
        <row r="13">
          <cell r="B13" t="str">
            <v>S23BDOCS1M01007</v>
          </cell>
          <cell r="C13" t="str">
            <v>AMAN ULLAH</v>
          </cell>
          <cell r="D13">
            <v>0.3888888888888889</v>
          </cell>
          <cell r="E13">
            <v>2</v>
          </cell>
          <cell r="F13">
            <v>6</v>
          </cell>
          <cell r="G13">
            <v>5</v>
          </cell>
          <cell r="H13">
            <v>13</v>
          </cell>
        </row>
        <row r="14">
          <cell r="B14" t="str">
            <v>S23BDOCS1M01010</v>
          </cell>
          <cell r="C14" t="str">
            <v>ALEESHA ASHRAF</v>
          </cell>
          <cell r="D14"/>
          <cell r="E14">
            <v>4</v>
          </cell>
          <cell r="F14">
            <v>6</v>
          </cell>
          <cell r="G14">
            <v>5</v>
          </cell>
          <cell r="H14">
            <v>15</v>
          </cell>
        </row>
        <row r="15">
          <cell r="B15" t="str">
            <v>S23BDOCS1M01011</v>
          </cell>
          <cell r="C15" t="str">
            <v>MUHAMMAD  ASAD              GHOURI</v>
          </cell>
          <cell r="D15">
            <v>0.39583333333333298</v>
          </cell>
          <cell r="E15">
            <v>5</v>
          </cell>
          <cell r="F15">
            <v>9</v>
          </cell>
          <cell r="G15">
            <v>5</v>
          </cell>
          <cell r="H15">
            <v>19</v>
          </cell>
        </row>
        <row r="16">
          <cell r="B16" t="str">
            <v>S23BDOCS1M01012</v>
          </cell>
          <cell r="C16" t="str">
            <v>LAIBA  REHMAN</v>
          </cell>
          <cell r="D16"/>
          <cell r="E16">
            <v>4</v>
          </cell>
          <cell r="F16">
            <v>6</v>
          </cell>
          <cell r="G16">
            <v>5</v>
          </cell>
          <cell r="H16">
            <v>15</v>
          </cell>
        </row>
        <row r="17">
          <cell r="B17" t="str">
            <v>S23BDOCS1M01013</v>
          </cell>
          <cell r="C17" t="str">
            <v>GUL                HASSAN</v>
          </cell>
          <cell r="D17">
            <v>0.40277777777777801</v>
          </cell>
          <cell r="E17">
            <v>5</v>
          </cell>
          <cell r="F17">
            <v>10</v>
          </cell>
          <cell r="G17">
            <v>5</v>
          </cell>
          <cell r="H17">
            <v>20</v>
          </cell>
        </row>
        <row r="18">
          <cell r="B18" t="str">
            <v>S23BDOCS1M01014</v>
          </cell>
          <cell r="C18" t="str">
            <v>SAIRA KANWAL</v>
          </cell>
          <cell r="D18"/>
          <cell r="E18">
            <v>4</v>
          </cell>
          <cell r="F18">
            <v>7</v>
          </cell>
          <cell r="G18">
            <v>5</v>
          </cell>
          <cell r="H18">
            <v>16</v>
          </cell>
        </row>
        <row r="19">
          <cell r="B19" t="str">
            <v>S23BDOCS1M01015</v>
          </cell>
          <cell r="C19" t="str">
            <v>NAEEM ASLAM</v>
          </cell>
          <cell r="D19">
            <v>0.40972222222222199</v>
          </cell>
          <cell r="E19">
            <v>5</v>
          </cell>
          <cell r="F19">
            <v>9</v>
          </cell>
          <cell r="G19">
            <v>5</v>
          </cell>
          <cell r="H19">
            <v>19</v>
          </cell>
        </row>
        <row r="20">
          <cell r="B20" t="str">
            <v>S23BDOCS1M01016</v>
          </cell>
          <cell r="C20" t="str">
            <v>IFRA AKBAR</v>
          </cell>
          <cell r="D20"/>
          <cell r="E20">
            <v>5</v>
          </cell>
          <cell r="F20">
            <v>8</v>
          </cell>
          <cell r="G20">
            <v>5</v>
          </cell>
          <cell r="H20">
            <v>18</v>
          </cell>
        </row>
        <row r="21">
          <cell r="B21" t="str">
            <v>S23BDOCS1M01018</v>
          </cell>
          <cell r="C21" t="str">
            <v>MARYAM  RIASAT</v>
          </cell>
          <cell r="D21">
            <v>0.41666666666666702</v>
          </cell>
          <cell r="E21">
            <v>4</v>
          </cell>
          <cell r="F21">
            <v>6</v>
          </cell>
          <cell r="G21">
            <v>5</v>
          </cell>
          <cell r="H21">
            <v>15</v>
          </cell>
        </row>
        <row r="22">
          <cell r="B22" t="str">
            <v>S23BDOCS1M01020</v>
          </cell>
          <cell r="C22" t="str">
            <v>HADIA  ABBAS</v>
          </cell>
          <cell r="D22"/>
          <cell r="E22">
            <v>4</v>
          </cell>
          <cell r="F22">
            <v>6</v>
          </cell>
          <cell r="G22">
            <v>5</v>
          </cell>
          <cell r="H22">
            <v>15</v>
          </cell>
        </row>
        <row r="23">
          <cell r="B23" t="str">
            <v>S23BDOCS1M01021</v>
          </cell>
          <cell r="C23" t="str">
            <v>ADEEL  AHMAD</v>
          </cell>
          <cell r="D23">
            <v>0.42361111111111099</v>
          </cell>
          <cell r="E23">
            <v>5</v>
          </cell>
          <cell r="F23">
            <v>10</v>
          </cell>
          <cell r="G23">
            <v>5</v>
          </cell>
          <cell r="H23">
            <v>20</v>
          </cell>
        </row>
        <row r="24">
          <cell r="B24" t="str">
            <v>S23BDOCS1M01022</v>
          </cell>
          <cell r="C24" t="str">
            <v>MAHEEN  BUKHARI</v>
          </cell>
          <cell r="D24"/>
          <cell r="E24">
            <v>5</v>
          </cell>
          <cell r="F24">
            <v>10</v>
          </cell>
          <cell r="G24">
            <v>5</v>
          </cell>
          <cell r="H24">
            <v>20</v>
          </cell>
        </row>
        <row r="25">
          <cell r="B25" t="str">
            <v>S23BDOCS1M01023</v>
          </cell>
          <cell r="C25" t="str">
            <v>NASEEB  IQBAL</v>
          </cell>
          <cell r="D25">
            <v>0.43055555555555503</v>
          </cell>
          <cell r="E25">
            <v>3</v>
          </cell>
          <cell r="F25">
            <v>5</v>
          </cell>
          <cell r="G25">
            <v>5</v>
          </cell>
          <cell r="H25">
            <v>13</v>
          </cell>
        </row>
        <row r="26">
          <cell r="B26" t="str">
            <v>S23BDOCS1M01024</v>
          </cell>
          <cell r="C26" t="str">
            <v>TUBA FATIMA</v>
          </cell>
          <cell r="D26"/>
          <cell r="E26">
            <v>3</v>
          </cell>
          <cell r="F26">
            <v>7</v>
          </cell>
          <cell r="G26">
            <v>5</v>
          </cell>
          <cell r="H26">
            <v>15</v>
          </cell>
        </row>
        <row r="27">
          <cell r="B27" t="str">
            <v>S23BDOCS1M01025</v>
          </cell>
          <cell r="C27" t="str">
            <v>KHURRAM SHAHZAD</v>
          </cell>
          <cell r="D27">
            <v>0.4375</v>
          </cell>
          <cell r="E27">
            <v>4</v>
          </cell>
          <cell r="F27">
            <v>7</v>
          </cell>
          <cell r="G27">
            <v>5</v>
          </cell>
          <cell r="H27">
            <v>16</v>
          </cell>
        </row>
        <row r="28">
          <cell r="B28" t="str">
            <v>S23BDOCS1M01026</v>
          </cell>
          <cell r="C28" t="str">
            <v>KHADIJA HANIF</v>
          </cell>
          <cell r="D28"/>
          <cell r="E28">
            <v>5</v>
          </cell>
          <cell r="F28">
            <v>10</v>
          </cell>
          <cell r="G28">
            <v>5</v>
          </cell>
          <cell r="H28">
            <v>20</v>
          </cell>
        </row>
        <row r="29">
          <cell r="B29" t="str">
            <v>S23BDOCS1M01027</v>
          </cell>
          <cell r="C29" t="str">
            <v>MUHAMMAD MUNEEB TAHIR</v>
          </cell>
          <cell r="D29">
            <v>0.44444444444444398</v>
          </cell>
          <cell r="E29">
            <v>4</v>
          </cell>
          <cell r="F29">
            <v>7</v>
          </cell>
          <cell r="G29">
            <v>5</v>
          </cell>
          <cell r="H29">
            <v>16</v>
          </cell>
        </row>
        <row r="30">
          <cell r="B30" t="str">
            <v>S23BDOCS1M01028</v>
          </cell>
          <cell r="C30" t="str">
            <v>WARDA ASIF</v>
          </cell>
          <cell r="D30"/>
          <cell r="E30">
            <v>3</v>
          </cell>
          <cell r="F30">
            <v>6</v>
          </cell>
          <cell r="G30">
            <v>5</v>
          </cell>
          <cell r="H30">
            <v>14</v>
          </cell>
        </row>
        <row r="31">
          <cell r="B31" t="str">
            <v>S23BDOCS1M01029</v>
          </cell>
          <cell r="C31" t="str">
            <v>MUZAMMIL  KHALID</v>
          </cell>
          <cell r="D31">
            <v>0.45138888888888901</v>
          </cell>
          <cell r="E31">
            <v>5</v>
          </cell>
          <cell r="F31">
            <v>8</v>
          </cell>
          <cell r="G31">
            <v>5</v>
          </cell>
          <cell r="H31">
            <v>18</v>
          </cell>
        </row>
        <row r="32">
          <cell r="B32" t="str">
            <v>S23BDOCS1M01030</v>
          </cell>
          <cell r="C32" t="str">
            <v>AIMEN ARSHAD</v>
          </cell>
          <cell r="D32"/>
          <cell r="E32">
            <v>4</v>
          </cell>
          <cell r="F32">
            <v>7</v>
          </cell>
          <cell r="G32">
            <v>5</v>
          </cell>
          <cell r="H32">
            <v>16</v>
          </cell>
        </row>
        <row r="33">
          <cell r="B33" t="str">
            <v>S23BDOCS1M01032</v>
          </cell>
          <cell r="C33" t="str">
            <v>MISBAH IRSHAD</v>
          </cell>
          <cell r="D33">
            <v>0.45833333333333298</v>
          </cell>
          <cell r="E33">
            <v>5</v>
          </cell>
          <cell r="F33">
            <v>10</v>
          </cell>
          <cell r="G33">
            <v>5</v>
          </cell>
          <cell r="H33">
            <v>20</v>
          </cell>
        </row>
        <row r="34">
          <cell r="B34" t="str">
            <v>S23BDOCS1M01034</v>
          </cell>
          <cell r="C34" t="str">
            <v>AIMEN EMAN</v>
          </cell>
          <cell r="D34"/>
          <cell r="E34">
            <v>3</v>
          </cell>
          <cell r="F34">
            <v>8</v>
          </cell>
          <cell r="G34">
            <v>5</v>
          </cell>
          <cell r="H34">
            <v>16</v>
          </cell>
        </row>
        <row r="35">
          <cell r="B35" t="str">
            <v>S23BDOCS1M01036</v>
          </cell>
          <cell r="C35" t="str">
            <v>AYESHA SANA</v>
          </cell>
          <cell r="D35">
            <v>0.46527777777777801</v>
          </cell>
          <cell r="E35">
            <v>3</v>
          </cell>
          <cell r="F35">
            <v>6</v>
          </cell>
          <cell r="G35">
            <v>5</v>
          </cell>
          <cell r="H35">
            <v>14</v>
          </cell>
        </row>
        <row r="36">
          <cell r="B36" t="str">
            <v>S23BDOCS1M01037</v>
          </cell>
          <cell r="C36" t="str">
            <v>ALI RAZA</v>
          </cell>
          <cell r="D36"/>
          <cell r="E36">
            <v>5</v>
          </cell>
          <cell r="F36">
            <v>9</v>
          </cell>
          <cell r="G36">
            <v>5</v>
          </cell>
          <cell r="H36">
            <v>19</v>
          </cell>
        </row>
        <row r="37">
          <cell r="B37" t="str">
            <v>S23BDOCS1M01038</v>
          </cell>
          <cell r="C37" t="str">
            <v>MUKESA SULEMAN</v>
          </cell>
          <cell r="D37">
            <v>0.47222222222222199</v>
          </cell>
          <cell r="E37">
            <v>4</v>
          </cell>
          <cell r="F37">
            <v>6</v>
          </cell>
          <cell r="G37">
            <v>5</v>
          </cell>
          <cell r="H37">
            <v>15</v>
          </cell>
        </row>
        <row r="38">
          <cell r="B38" t="str">
            <v>S23BDOCS1M01039</v>
          </cell>
          <cell r="C38" t="str">
            <v>MUHAMMAD AZHAR</v>
          </cell>
          <cell r="D38"/>
          <cell r="E38">
            <v>5</v>
          </cell>
          <cell r="F38">
            <v>10</v>
          </cell>
          <cell r="G38">
            <v>5</v>
          </cell>
          <cell r="H38">
            <v>20</v>
          </cell>
        </row>
        <row r="39">
          <cell r="B39" t="str">
            <v>S23BDOCS1M01040</v>
          </cell>
          <cell r="C39" t="str">
            <v>MOMNA KHALID</v>
          </cell>
          <cell r="D39">
            <v>0.47916666666666602</v>
          </cell>
          <cell r="E39">
            <v>3</v>
          </cell>
          <cell r="F39">
            <v>6</v>
          </cell>
          <cell r="G39">
            <v>5</v>
          </cell>
          <cell r="H39">
            <v>14</v>
          </cell>
        </row>
        <row r="40">
          <cell r="B40" t="str">
            <v>S23BDOCS1M01041</v>
          </cell>
          <cell r="C40" t="str">
            <v>MUHAMMAD SAQIB</v>
          </cell>
          <cell r="D40"/>
          <cell r="E40">
            <v>5</v>
          </cell>
          <cell r="F40">
            <v>10</v>
          </cell>
          <cell r="G40">
            <v>5</v>
          </cell>
          <cell r="H40">
            <v>20</v>
          </cell>
        </row>
        <row r="41">
          <cell r="B41" t="str">
            <v>S23BDOCS1M01043</v>
          </cell>
          <cell r="C41" t="str">
            <v>ABUBAKR  TAIMOOR</v>
          </cell>
          <cell r="D41">
            <v>0.48611111111111099</v>
          </cell>
          <cell r="E41">
            <v>5</v>
          </cell>
          <cell r="F41">
            <v>10</v>
          </cell>
          <cell r="G41">
            <v>5</v>
          </cell>
          <cell r="H41">
            <v>20</v>
          </cell>
        </row>
        <row r="42">
          <cell r="B42" t="str">
            <v>S23BDOCS1M01044</v>
          </cell>
          <cell r="C42" t="str">
            <v>AIMA AZIZ</v>
          </cell>
          <cell r="D42"/>
          <cell r="E42">
            <v>3</v>
          </cell>
          <cell r="F42">
            <v>6</v>
          </cell>
          <cell r="G42">
            <v>5</v>
          </cell>
          <cell r="H42">
            <v>14</v>
          </cell>
        </row>
        <row r="43">
          <cell r="B43" t="str">
            <v>S23BDOCS1M01045</v>
          </cell>
          <cell r="C43" t="str">
            <v>KASHIF FIAZ</v>
          </cell>
          <cell r="D43">
            <v>0.49305555555555503</v>
          </cell>
          <cell r="E43">
            <v>3</v>
          </cell>
          <cell r="F43">
            <v>6</v>
          </cell>
          <cell r="G43">
            <v>5</v>
          </cell>
          <cell r="H43">
            <v>14</v>
          </cell>
        </row>
        <row r="44">
          <cell r="B44" t="str">
            <v>S23BDOCS1M01047</v>
          </cell>
          <cell r="C44" t="str">
            <v>RANA MUHAMMAD ABDULLAH</v>
          </cell>
          <cell r="D44"/>
          <cell r="E44">
            <v>5</v>
          </cell>
          <cell r="F44">
            <v>10</v>
          </cell>
          <cell r="G44">
            <v>5</v>
          </cell>
          <cell r="H44">
            <v>20</v>
          </cell>
        </row>
        <row r="45">
          <cell r="B45" t="str">
            <v>S23BDOCS1M01048</v>
          </cell>
          <cell r="C45" t="str">
            <v>HAMNA EMAN</v>
          </cell>
          <cell r="D45">
            <v>0.5</v>
          </cell>
          <cell r="E45">
            <v>5</v>
          </cell>
          <cell r="F45">
            <v>9</v>
          </cell>
          <cell r="G45">
            <v>5</v>
          </cell>
          <cell r="H45">
            <v>19</v>
          </cell>
        </row>
        <row r="46">
          <cell r="B46" t="str">
            <v>S23BDOCS1M01049</v>
          </cell>
          <cell r="C46" t="str">
            <v>MUHAMMAD MUDASSIR</v>
          </cell>
          <cell r="D46"/>
          <cell r="E46">
            <v>4</v>
          </cell>
          <cell r="F46">
            <v>8</v>
          </cell>
          <cell r="G46">
            <v>5</v>
          </cell>
          <cell r="H46">
            <v>17</v>
          </cell>
        </row>
        <row r="47">
          <cell r="B47" t="str">
            <v>S23BDOCS1M01050</v>
          </cell>
          <cell r="C47" t="str">
            <v>SEHER GUL</v>
          </cell>
          <cell r="D47">
            <v>0.50694444444444398</v>
          </cell>
          <cell r="E47">
            <v>5</v>
          </cell>
          <cell r="F47">
            <v>10</v>
          </cell>
          <cell r="G47">
            <v>5</v>
          </cell>
          <cell r="H47">
            <v>20</v>
          </cell>
        </row>
        <row r="48">
          <cell r="B48" t="str">
            <v>S23BDOCS1M01051</v>
          </cell>
          <cell r="C48" t="str">
            <v>MUHAMMAD TALHA ZAFAR</v>
          </cell>
          <cell r="D48"/>
          <cell r="E48">
            <v>3</v>
          </cell>
          <cell r="F48">
            <v>6</v>
          </cell>
          <cell r="G48">
            <v>5</v>
          </cell>
          <cell r="H48">
            <v>14</v>
          </cell>
        </row>
        <row r="49">
          <cell r="B49" t="str">
            <v>S23BDOCS1M01052</v>
          </cell>
          <cell r="C49" t="str">
            <v>ALVEENA                       MEHBOOB</v>
          </cell>
          <cell r="D49">
            <v>0.51388888888888795</v>
          </cell>
          <cell r="E49">
            <v>5</v>
          </cell>
          <cell r="F49">
            <v>10</v>
          </cell>
          <cell r="G49">
            <v>5</v>
          </cell>
          <cell r="H49">
            <v>20</v>
          </cell>
        </row>
        <row r="50">
          <cell r="B50" t="str">
            <v>S23BDOCS1M01053</v>
          </cell>
          <cell r="C50" t="str">
            <v>MUHAMMAD BILAL</v>
          </cell>
          <cell r="D50"/>
          <cell r="E50">
            <v>3</v>
          </cell>
          <cell r="F50">
            <v>5</v>
          </cell>
          <cell r="G50">
            <v>5</v>
          </cell>
          <cell r="H50">
            <v>13</v>
          </cell>
        </row>
        <row r="51">
          <cell r="B51" t="str">
            <v>S23BDOCS1M01054</v>
          </cell>
          <cell r="C51" t="str">
            <v>FARAH JABEEN</v>
          </cell>
          <cell r="D51">
            <v>0.52083333333333304</v>
          </cell>
          <cell r="E51">
            <v>3</v>
          </cell>
          <cell r="F51">
            <v>7</v>
          </cell>
          <cell r="G51">
            <v>5</v>
          </cell>
          <cell r="H51">
            <v>15</v>
          </cell>
        </row>
        <row r="52">
          <cell r="B52" t="str">
            <v>S23BDOCS1M01055</v>
          </cell>
          <cell r="C52" t="str">
            <v>MUHAMMAD SHAHRYAR ZAFAR</v>
          </cell>
          <cell r="D52"/>
          <cell r="E52">
            <v>5</v>
          </cell>
          <cell r="F52">
            <v>10</v>
          </cell>
          <cell r="G52">
            <v>5</v>
          </cell>
          <cell r="H52">
            <v>20</v>
          </cell>
        </row>
        <row r="53">
          <cell r="B53" t="str">
            <v>S23BDOCS1M01056</v>
          </cell>
          <cell r="C53" t="str">
            <v>UJALA SATTAR</v>
          </cell>
          <cell r="D53">
            <v>0.52777777777777701</v>
          </cell>
          <cell r="E53">
            <v>3</v>
          </cell>
          <cell r="F53">
            <v>6</v>
          </cell>
          <cell r="G53">
            <v>5</v>
          </cell>
          <cell r="H53">
            <v>14</v>
          </cell>
        </row>
        <row r="54">
          <cell r="B54" t="str">
            <v>S23BDOCS1M01058</v>
          </cell>
          <cell r="C54" t="str">
            <v>NOOR UL HUDA</v>
          </cell>
          <cell r="D54"/>
          <cell r="E54">
            <v>3</v>
          </cell>
          <cell r="F54">
            <v>6</v>
          </cell>
          <cell r="G54">
            <v>5</v>
          </cell>
          <cell r="H54">
            <v>14</v>
          </cell>
        </row>
        <row r="55">
          <cell r="B55" t="str">
            <v>S23BDOCS1M01060</v>
          </cell>
          <cell r="C55" t="str">
            <v>SAIRA MUMTAZ</v>
          </cell>
          <cell r="D55">
            <v>0.53472222222222199</v>
          </cell>
          <cell r="E55"/>
          <cell r="F55"/>
          <cell r="G55">
            <v>5</v>
          </cell>
          <cell r="H55">
            <v>5</v>
          </cell>
        </row>
        <row r="56">
          <cell r="B56" t="str">
            <v>S23BDOCS1M01061</v>
          </cell>
          <cell r="C56" t="str">
            <v>ABDULLAH BIN         MASOOD</v>
          </cell>
          <cell r="D56"/>
          <cell r="E56">
            <v>4</v>
          </cell>
          <cell r="F56">
            <v>9</v>
          </cell>
          <cell r="G56">
            <v>0</v>
          </cell>
          <cell r="H56">
            <v>13</v>
          </cell>
        </row>
        <row r="57">
          <cell r="B57" t="str">
            <v>S23BDOCS1M01062</v>
          </cell>
          <cell r="C57" t="str">
            <v>MARYAM  KANWAL</v>
          </cell>
          <cell r="D57">
            <v>0.54166666666666596</v>
          </cell>
          <cell r="E57">
            <v>3</v>
          </cell>
          <cell r="F57">
            <v>5</v>
          </cell>
          <cell r="G57">
            <v>5</v>
          </cell>
          <cell r="H57">
            <v>13</v>
          </cell>
        </row>
        <row r="58">
          <cell r="B58" t="str">
            <v>S23BDOCS1M01063</v>
          </cell>
          <cell r="C58" t="str">
            <v>MUHAMMAD  WAQAS</v>
          </cell>
          <cell r="D58"/>
          <cell r="E58">
            <v>3</v>
          </cell>
          <cell r="F58">
            <v>6</v>
          </cell>
          <cell r="G58">
            <v>5</v>
          </cell>
          <cell r="H58">
            <v>14</v>
          </cell>
        </row>
        <row r="59">
          <cell r="B59" t="str">
            <v>S23BDOCS1M01064</v>
          </cell>
          <cell r="C59" t="str">
            <v>MEMOONA  NASIR</v>
          </cell>
          <cell r="D59">
            <v>0.54861111111111005</v>
          </cell>
          <cell r="E59">
            <v>4</v>
          </cell>
          <cell r="F59">
            <v>8</v>
          </cell>
          <cell r="G59">
            <v>5</v>
          </cell>
          <cell r="H59">
            <v>17</v>
          </cell>
        </row>
        <row r="60">
          <cell r="B60" t="str">
            <v>S23BDOCS1M01065</v>
          </cell>
          <cell r="C60" t="str">
            <v>MUHAMMAD SUFYAN</v>
          </cell>
          <cell r="D60"/>
          <cell r="E60">
            <v>3</v>
          </cell>
          <cell r="F60">
            <v>5</v>
          </cell>
          <cell r="G60">
            <v>5</v>
          </cell>
          <cell r="H60">
            <v>13</v>
          </cell>
        </row>
        <row r="61">
          <cell r="B61" t="str">
            <v>S23BDOCS1M01067</v>
          </cell>
          <cell r="C61" t="str">
            <v>AREEB MUSTAFA</v>
          </cell>
          <cell r="D61">
            <v>0.55555555555555503</v>
          </cell>
          <cell r="E61">
            <v>5</v>
          </cell>
          <cell r="F61">
            <v>10</v>
          </cell>
          <cell r="G61">
            <v>5</v>
          </cell>
          <cell r="H61">
            <v>20</v>
          </cell>
        </row>
        <row r="62">
          <cell r="B62" t="str">
            <v>S23BDOCS1M01068</v>
          </cell>
          <cell r="C62" t="str">
            <v>SUMAIRA                   ILYAS</v>
          </cell>
          <cell r="D62"/>
          <cell r="E62">
            <v>4</v>
          </cell>
          <cell r="F62">
            <v>7</v>
          </cell>
          <cell r="G62">
            <v>5</v>
          </cell>
          <cell r="H62">
            <v>16</v>
          </cell>
        </row>
        <row r="63">
          <cell r="B63" t="str">
            <v>S23BDOCS1M01072</v>
          </cell>
          <cell r="C63" t="str">
            <v>SOBIA SUMAN</v>
          </cell>
          <cell r="D63">
            <v>0.562499999999999</v>
          </cell>
          <cell r="E63">
            <v>3</v>
          </cell>
          <cell r="F63">
            <v>6</v>
          </cell>
          <cell r="G63">
            <v>5</v>
          </cell>
          <cell r="H63">
            <v>14</v>
          </cell>
        </row>
        <row r="64">
          <cell r="B64" t="str">
            <v>S23BDOCS1M01114</v>
          </cell>
          <cell r="C64" t="str">
            <v>MUHAMMAD  HARIS                         QASIM</v>
          </cell>
          <cell r="D64"/>
          <cell r="E64">
            <v>3</v>
          </cell>
          <cell r="F64">
            <v>5</v>
          </cell>
          <cell r="G64">
            <v>5</v>
          </cell>
          <cell r="H64">
            <v>13</v>
          </cell>
        </row>
        <row r="65">
          <cell r="B65" t="str">
            <v>S23BDOCS1M01161</v>
          </cell>
          <cell r="C65" t="str">
            <v>MUHAMMAD JAMSHAID</v>
          </cell>
          <cell r="D65">
            <v>0.56944444444444398</v>
          </cell>
          <cell r="E65"/>
          <cell r="F65"/>
          <cell r="G65">
            <v>5</v>
          </cell>
          <cell r="H65">
            <v>5</v>
          </cell>
        </row>
        <row r="66">
          <cell r="B66" t="str">
            <v>S23BDOCS1M01175</v>
          </cell>
          <cell r="C66" t="str">
            <v>ADIL  MAHMOOD</v>
          </cell>
          <cell r="D66"/>
          <cell r="E66">
            <v>3</v>
          </cell>
          <cell r="F66">
            <v>5</v>
          </cell>
          <cell r="G66">
            <v>5</v>
          </cell>
          <cell r="H66">
            <v>13</v>
          </cell>
        </row>
        <row r="67">
          <cell r="B67" t="str">
            <v>S23BDOCS1M01197</v>
          </cell>
          <cell r="C67" t="str">
            <v>IRFAN  RAHIM</v>
          </cell>
          <cell r="D67">
            <v>0.57638888888888795</v>
          </cell>
          <cell r="E67">
            <v>3</v>
          </cell>
          <cell r="F67">
            <v>5</v>
          </cell>
          <cell r="G67">
            <v>5</v>
          </cell>
          <cell r="H67">
            <v>13</v>
          </cell>
        </row>
        <row r="68">
          <cell r="B68" t="str">
            <v>S23BDOCS1M01198</v>
          </cell>
          <cell r="C68" t="str">
            <v>SHAHZAIB  NAWAZ</v>
          </cell>
          <cell r="D68"/>
          <cell r="E68">
            <v>3</v>
          </cell>
          <cell r="F68">
            <v>5</v>
          </cell>
          <cell r="G68">
            <v>5</v>
          </cell>
          <cell r="H68">
            <v>13</v>
          </cell>
        </row>
        <row r="69">
          <cell r="B69" t="str">
            <v>S23BDOCS1E02118</v>
          </cell>
          <cell r="C69" t="str">
            <v>MUHAMMAD  FARHAN</v>
          </cell>
          <cell r="D69">
            <v>0.58333333333333304</v>
          </cell>
          <cell r="E69">
            <v>5</v>
          </cell>
          <cell r="F69">
            <v>8</v>
          </cell>
          <cell r="G69">
            <v>5</v>
          </cell>
          <cell r="H69">
            <v>18</v>
          </cell>
        </row>
        <row r="70">
          <cell r="B70" t="str">
            <v>S23BDOCS1M01230</v>
          </cell>
          <cell r="C70" t="str">
            <v>MUHAMMAD HANAN SAJID</v>
          </cell>
          <cell r="D70"/>
          <cell r="E70">
            <v>3</v>
          </cell>
          <cell r="F70">
            <v>5</v>
          </cell>
          <cell r="G70">
            <v>5</v>
          </cell>
          <cell r="H70">
            <v>13</v>
          </cell>
        </row>
        <row r="71">
          <cell r="B71" t="str">
            <v>S23BDOCS1M01031</v>
          </cell>
          <cell r="C71" t="str">
            <v>HAFIZ ALLAH BACHAYA</v>
          </cell>
          <cell r="D71">
            <v>0.59027777777777701</v>
          </cell>
          <cell r="E71">
            <v>3</v>
          </cell>
          <cell r="F71">
            <v>5</v>
          </cell>
          <cell r="G71">
            <v>5</v>
          </cell>
          <cell r="H71">
            <v>13</v>
          </cell>
        </row>
        <row r="72">
          <cell r="B72" t="str">
            <v>F21BDOCS1E02116</v>
          </cell>
          <cell r="C72" t="str">
            <v>MUHAMMAD AWAIS TAHIR</v>
          </cell>
          <cell r="D72"/>
          <cell r="E72"/>
          <cell r="F72"/>
          <cell r="G72"/>
          <cell r="H72">
            <v>0</v>
          </cell>
        </row>
        <row r="73">
          <cell r="B73" t="str">
            <v>F21BDOCS1E02170</v>
          </cell>
          <cell r="C73" t="str">
            <v>MUHAMMAD WASEEM</v>
          </cell>
          <cell r="D73">
            <v>0.59722222222222299</v>
          </cell>
          <cell r="E73"/>
          <cell r="F73"/>
          <cell r="G73"/>
          <cell r="H73">
            <v>0</v>
          </cell>
        </row>
        <row r="74">
          <cell r="B74" t="str">
            <v>F21BDOCS1E02192</v>
          </cell>
          <cell r="C74" t="str">
            <v>ABDULLAH</v>
          </cell>
          <cell r="D74"/>
          <cell r="E74"/>
          <cell r="F74"/>
          <cell r="G74"/>
          <cell r="H74">
            <v>0</v>
          </cell>
        </row>
        <row r="75">
          <cell r="B75" t="str">
            <v>F22bdcs1m01227</v>
          </cell>
          <cell r="C75"/>
          <cell r="D75">
            <v>0.60416666666666796</v>
          </cell>
          <cell r="E75">
            <v>3</v>
          </cell>
          <cell r="F75">
            <v>5</v>
          </cell>
          <cell r="G75">
            <v>5</v>
          </cell>
          <cell r="H75">
            <v>13</v>
          </cell>
        </row>
        <row r="76">
          <cell r="B76" t="str">
            <v>F22BDOCS1M01197</v>
          </cell>
          <cell r="C76" t="str">
            <v>Ali moazam</v>
          </cell>
          <cell r="D76"/>
          <cell r="E76">
            <v>3</v>
          </cell>
          <cell r="F76">
            <v>5</v>
          </cell>
          <cell r="G76">
            <v>5</v>
          </cell>
          <cell r="H76">
            <v>13</v>
          </cell>
        </row>
        <row r="77">
          <cell r="B77" t="str">
            <v>S22BDOCS1MO1178</v>
          </cell>
          <cell r="C77" t="str">
            <v>Muhammad Sohail</v>
          </cell>
          <cell r="E77">
            <v>4</v>
          </cell>
          <cell r="F77">
            <v>6</v>
          </cell>
          <cell r="G77">
            <v>5</v>
          </cell>
          <cell r="H77">
            <v>15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6"/>
  <sheetViews>
    <sheetView tabSelected="1" topLeftCell="B1" workbookViewId="0">
      <selection activeCell="X5" sqref="X5"/>
    </sheetView>
  </sheetViews>
  <sheetFormatPr defaultRowHeight="15"/>
  <cols>
    <col min="1" max="1" width="4.140625" bestFit="1" customWidth="1"/>
    <col min="2" max="2" width="36.28515625" bestFit="1" customWidth="1"/>
    <col min="3" max="3" width="18" bestFit="1" customWidth="1"/>
    <col min="4" max="4" width="9.28515625" hidden="1" customWidth="1"/>
    <col min="5" max="5" width="9.5703125" hidden="1" customWidth="1"/>
    <col min="6" max="8" width="0" hidden="1" customWidth="1"/>
    <col min="9" max="9" width="9.28515625" hidden="1" customWidth="1"/>
    <col min="10" max="10" width="8.7109375" hidden="1" customWidth="1"/>
    <col min="11" max="11" width="9.7109375" hidden="1" customWidth="1"/>
    <col min="12" max="12" width="11.140625" hidden="1" customWidth="1"/>
  </cols>
  <sheetData>
    <row r="1" spans="1:25" ht="73.5" customHeight="1">
      <c r="B1" t="s">
        <v>0</v>
      </c>
      <c r="C1" s="1" t="s">
        <v>1</v>
      </c>
      <c r="D1" s="23" t="s">
        <v>2</v>
      </c>
      <c r="E1" s="24"/>
      <c r="F1" s="24"/>
      <c r="G1" s="24"/>
      <c r="H1" s="24"/>
      <c r="I1" s="24"/>
      <c r="J1" s="24"/>
      <c r="K1" s="24"/>
    </row>
    <row r="2" spans="1:25">
      <c r="D2" s="25" t="s">
        <v>3</v>
      </c>
      <c r="E2" s="25"/>
      <c r="F2" s="25"/>
      <c r="G2" s="18" t="s">
        <v>4</v>
      </c>
      <c r="H2" s="19"/>
      <c r="I2" s="20"/>
      <c r="J2" s="21" t="s">
        <v>5</v>
      </c>
      <c r="K2" s="22"/>
      <c r="M2" s="25" t="s">
        <v>3</v>
      </c>
      <c r="N2" s="25"/>
      <c r="O2" s="25"/>
      <c r="P2" s="18" t="s">
        <v>4</v>
      </c>
      <c r="Q2" s="19"/>
      <c r="R2" s="20"/>
      <c r="S2" s="21" t="s">
        <v>5</v>
      </c>
      <c r="T2" s="22"/>
    </row>
    <row r="3" spans="1:25">
      <c r="D3" s="2">
        <v>20</v>
      </c>
      <c r="E3" s="2">
        <v>30</v>
      </c>
      <c r="F3" s="2">
        <v>50</v>
      </c>
      <c r="G3" s="3">
        <v>0.75</v>
      </c>
      <c r="H3" s="3">
        <v>0.75</v>
      </c>
      <c r="I3" s="3">
        <v>0.75</v>
      </c>
      <c r="J3" s="3">
        <v>0.2</v>
      </c>
      <c r="K3" s="3">
        <v>0.05</v>
      </c>
      <c r="M3" s="2">
        <v>20</v>
      </c>
      <c r="N3" s="2">
        <v>30</v>
      </c>
      <c r="O3" s="2">
        <v>50</v>
      </c>
      <c r="P3" s="3">
        <v>0.75</v>
      </c>
      <c r="Q3" s="3">
        <v>0.75</v>
      </c>
      <c r="R3" s="3">
        <v>0.75</v>
      </c>
      <c r="S3" s="3">
        <v>0.2</v>
      </c>
      <c r="T3" s="3">
        <v>0.05</v>
      </c>
    </row>
    <row r="4" spans="1:25" ht="45">
      <c r="A4" s="4" t="s">
        <v>6</v>
      </c>
      <c r="B4" s="4" t="s">
        <v>7</v>
      </c>
      <c r="C4" s="4" t="s">
        <v>8</v>
      </c>
      <c r="D4" s="5" t="s">
        <v>9</v>
      </c>
      <c r="E4" s="5" t="s">
        <v>10</v>
      </c>
      <c r="F4" s="5" t="s">
        <v>11</v>
      </c>
      <c r="G4" s="6" t="s">
        <v>9</v>
      </c>
      <c r="H4" s="6" t="s">
        <v>10</v>
      </c>
      <c r="I4" s="6" t="s">
        <v>11</v>
      </c>
      <c r="J4" s="7" t="s">
        <v>12</v>
      </c>
      <c r="K4" s="6" t="s">
        <v>13</v>
      </c>
      <c r="L4" s="4" t="s">
        <v>14</v>
      </c>
      <c r="M4" s="12" t="s">
        <v>9</v>
      </c>
      <c r="N4" s="12" t="s">
        <v>10</v>
      </c>
      <c r="O4" s="12" t="s">
        <v>11</v>
      </c>
      <c r="P4" s="13" t="s">
        <v>9</v>
      </c>
      <c r="Q4" s="13" t="s">
        <v>10</v>
      </c>
      <c r="R4" s="13" t="s">
        <v>11</v>
      </c>
      <c r="S4" s="14" t="s">
        <v>12</v>
      </c>
      <c r="T4" s="13" t="s">
        <v>13</v>
      </c>
      <c r="U4" s="15" t="s">
        <v>14</v>
      </c>
      <c r="X4" t="s">
        <v>15</v>
      </c>
    </row>
    <row r="5" spans="1:25">
      <c r="A5">
        <v>1</v>
      </c>
      <c r="B5" t="s">
        <v>16</v>
      </c>
      <c r="C5" t="s">
        <v>17</v>
      </c>
      <c r="D5" s="2"/>
      <c r="E5" s="2">
        <v>23</v>
      </c>
      <c r="F5" s="2">
        <v>48</v>
      </c>
      <c r="G5" s="8">
        <f t="shared" ref="G5:I36" si="0">D5*0.75</f>
        <v>0</v>
      </c>
      <c r="H5" s="8">
        <f t="shared" si="0"/>
        <v>17.25</v>
      </c>
      <c r="I5" s="8">
        <f t="shared" si="0"/>
        <v>36</v>
      </c>
      <c r="J5" s="8">
        <f>VLOOKUP(C5,[1]Sheet1!$B$9:$H$77,7,FALSE)</f>
        <v>19</v>
      </c>
      <c r="K5" s="8"/>
      <c r="M5" s="2">
        <v>17</v>
      </c>
      <c r="N5" s="2">
        <v>23</v>
      </c>
      <c r="O5" s="2">
        <v>48</v>
      </c>
      <c r="P5" s="8">
        <f t="shared" ref="P5:R36" si="1">M5*0.75</f>
        <v>12.75</v>
      </c>
      <c r="Q5" s="8">
        <f t="shared" si="1"/>
        <v>17.25</v>
      </c>
      <c r="R5" s="8">
        <f t="shared" si="1"/>
        <v>36</v>
      </c>
      <c r="S5" s="8">
        <v>19</v>
      </c>
      <c r="T5" s="8">
        <v>5</v>
      </c>
      <c r="U5" s="11">
        <f>SUM(P5:T5)</f>
        <v>90</v>
      </c>
    </row>
    <row r="6" spans="1:25">
      <c r="A6">
        <v>2</v>
      </c>
      <c r="B6" t="s">
        <v>18</v>
      </c>
      <c r="C6" t="s">
        <v>19</v>
      </c>
      <c r="D6" s="2"/>
      <c r="E6" s="2">
        <v>12</v>
      </c>
      <c r="F6" s="2">
        <v>30</v>
      </c>
      <c r="G6" s="8">
        <f t="shared" si="0"/>
        <v>0</v>
      </c>
      <c r="H6" s="8">
        <f t="shared" si="0"/>
        <v>9</v>
      </c>
      <c r="I6" s="8">
        <f t="shared" si="0"/>
        <v>22.5</v>
      </c>
      <c r="J6" s="8">
        <f>VLOOKUP(C6,[1]Sheet1!$B$9:$H$77,7,FALSE)</f>
        <v>15</v>
      </c>
      <c r="K6" s="8"/>
      <c r="M6" s="2">
        <v>14</v>
      </c>
      <c r="N6" s="2">
        <v>12</v>
      </c>
      <c r="O6" s="2">
        <v>30</v>
      </c>
      <c r="P6" s="8">
        <f t="shared" si="1"/>
        <v>10.5</v>
      </c>
      <c r="Q6" s="8">
        <f t="shared" si="1"/>
        <v>9</v>
      </c>
      <c r="R6" s="8">
        <f t="shared" si="1"/>
        <v>22.5</v>
      </c>
      <c r="S6" s="8">
        <v>15</v>
      </c>
      <c r="T6" s="8">
        <v>5</v>
      </c>
      <c r="U6" s="11">
        <f t="shared" ref="U6:U60" si="2">SUM(P6:T6)</f>
        <v>62</v>
      </c>
      <c r="X6" s="16" t="s">
        <v>20</v>
      </c>
      <c r="Y6" s="17">
        <f>AVERAGE(U5:U76)</f>
        <v>71.013888888888886</v>
      </c>
    </row>
    <row r="7" spans="1:25">
      <c r="A7">
        <v>3</v>
      </c>
      <c r="B7" t="s">
        <v>21</v>
      </c>
      <c r="C7" t="s">
        <v>22</v>
      </c>
      <c r="D7" s="2"/>
      <c r="E7" s="2">
        <v>20</v>
      </c>
      <c r="F7" s="2">
        <v>44</v>
      </c>
      <c r="G7" s="8">
        <f t="shared" si="0"/>
        <v>0</v>
      </c>
      <c r="H7" s="8">
        <f t="shared" si="0"/>
        <v>15</v>
      </c>
      <c r="I7" s="8">
        <f t="shared" si="0"/>
        <v>33</v>
      </c>
      <c r="J7" s="8">
        <f>VLOOKUP(C7,[1]Sheet1!$B$9:$H$77,7,FALSE)</f>
        <v>18</v>
      </c>
      <c r="K7" s="8"/>
      <c r="M7" s="2">
        <v>20</v>
      </c>
      <c r="N7" s="2">
        <v>20</v>
      </c>
      <c r="O7" s="2">
        <v>44</v>
      </c>
      <c r="P7" s="8">
        <f t="shared" si="1"/>
        <v>15</v>
      </c>
      <c r="Q7" s="8">
        <f t="shared" si="1"/>
        <v>15</v>
      </c>
      <c r="R7" s="8">
        <f t="shared" si="1"/>
        <v>33</v>
      </c>
      <c r="S7" s="8">
        <v>18</v>
      </c>
      <c r="T7" s="8">
        <v>5</v>
      </c>
      <c r="U7" s="11">
        <f t="shared" si="2"/>
        <v>86</v>
      </c>
      <c r="X7" s="16" t="s">
        <v>23</v>
      </c>
      <c r="Y7" s="17">
        <f>MAX(U5:U76)</f>
        <v>93.25</v>
      </c>
    </row>
    <row r="8" spans="1:25">
      <c r="A8">
        <v>4</v>
      </c>
      <c r="B8" t="s">
        <v>24</v>
      </c>
      <c r="C8" t="s">
        <v>25</v>
      </c>
      <c r="D8" s="2"/>
      <c r="E8" s="2">
        <v>27</v>
      </c>
      <c r="F8" s="2">
        <v>33</v>
      </c>
      <c r="G8" s="8">
        <f t="shared" si="0"/>
        <v>0</v>
      </c>
      <c r="H8" s="8">
        <f t="shared" si="0"/>
        <v>20.25</v>
      </c>
      <c r="I8" s="8">
        <f t="shared" si="0"/>
        <v>24.75</v>
      </c>
      <c r="J8" s="8">
        <f>VLOOKUP(C8,[1]Sheet1!$B$9:$H$77,7,FALSE)</f>
        <v>17</v>
      </c>
      <c r="K8" s="8"/>
      <c r="M8" s="2">
        <v>15</v>
      </c>
      <c r="N8" s="2">
        <v>27</v>
      </c>
      <c r="O8" s="2">
        <v>33</v>
      </c>
      <c r="P8" s="8">
        <f t="shared" si="1"/>
        <v>11.25</v>
      </c>
      <c r="Q8" s="8">
        <f t="shared" si="1"/>
        <v>20.25</v>
      </c>
      <c r="R8" s="8">
        <f t="shared" si="1"/>
        <v>24.75</v>
      </c>
      <c r="S8" s="8">
        <v>17</v>
      </c>
      <c r="T8" s="8">
        <v>5</v>
      </c>
      <c r="U8" s="11">
        <f t="shared" si="2"/>
        <v>78.25</v>
      </c>
      <c r="X8" s="16" t="s">
        <v>26</v>
      </c>
      <c r="Y8" s="17">
        <f>MIN(U5:U59,U61:U76)</f>
        <v>36.75</v>
      </c>
    </row>
    <row r="9" spans="1:25">
      <c r="A9">
        <v>6</v>
      </c>
      <c r="B9" t="s">
        <v>27</v>
      </c>
      <c r="C9" t="s">
        <v>28</v>
      </c>
      <c r="D9" s="2"/>
      <c r="E9" s="2">
        <v>20</v>
      </c>
      <c r="F9" s="2">
        <v>28</v>
      </c>
      <c r="G9" s="8">
        <f t="shared" si="0"/>
        <v>0</v>
      </c>
      <c r="H9" s="8">
        <f t="shared" si="0"/>
        <v>15</v>
      </c>
      <c r="I9" s="8">
        <f t="shared" si="0"/>
        <v>21</v>
      </c>
      <c r="J9" s="8">
        <f>VLOOKUP(C9,[1]Sheet1!$B$9:$H$77,7,FALSE)</f>
        <v>13</v>
      </c>
      <c r="K9" s="8"/>
      <c r="M9" s="2">
        <v>15</v>
      </c>
      <c r="N9" s="2">
        <v>20</v>
      </c>
      <c r="O9" s="2">
        <v>28</v>
      </c>
      <c r="P9" s="8">
        <f t="shared" si="1"/>
        <v>11.25</v>
      </c>
      <c r="Q9" s="8">
        <f t="shared" si="1"/>
        <v>15</v>
      </c>
      <c r="R9" s="8">
        <f t="shared" si="1"/>
        <v>21</v>
      </c>
      <c r="S9" s="8">
        <v>13</v>
      </c>
      <c r="T9" s="8">
        <v>5</v>
      </c>
      <c r="U9" s="11">
        <f t="shared" si="2"/>
        <v>65.25</v>
      </c>
      <c r="X9" s="16" t="s">
        <v>29</v>
      </c>
      <c r="Y9" s="16">
        <f>COUNTIF(U5:U76,"&gt;84")</f>
        <v>15</v>
      </c>
    </row>
    <row r="10" spans="1:25">
      <c r="A10">
        <v>7</v>
      </c>
      <c r="B10" t="s">
        <v>30</v>
      </c>
      <c r="C10" t="s">
        <v>31</v>
      </c>
      <c r="D10" s="2"/>
      <c r="E10" s="2">
        <v>25</v>
      </c>
      <c r="F10" s="2">
        <v>39</v>
      </c>
      <c r="G10" s="8">
        <f t="shared" si="0"/>
        <v>0</v>
      </c>
      <c r="H10" s="8">
        <f t="shared" si="0"/>
        <v>18.75</v>
      </c>
      <c r="I10" s="8">
        <f t="shared" si="0"/>
        <v>29.25</v>
      </c>
      <c r="J10" s="8">
        <f>VLOOKUP(C10,[1]Sheet1!$B$9:$H$77,7,FALSE)</f>
        <v>15</v>
      </c>
      <c r="K10" s="8"/>
      <c r="M10" s="2">
        <v>17</v>
      </c>
      <c r="N10" s="2">
        <v>25</v>
      </c>
      <c r="O10" s="2">
        <v>39</v>
      </c>
      <c r="P10" s="8">
        <f t="shared" si="1"/>
        <v>12.75</v>
      </c>
      <c r="Q10" s="8">
        <f t="shared" si="1"/>
        <v>18.75</v>
      </c>
      <c r="R10" s="8">
        <f t="shared" si="1"/>
        <v>29.25</v>
      </c>
      <c r="S10" s="8">
        <v>15</v>
      </c>
      <c r="T10" s="8">
        <v>5</v>
      </c>
      <c r="U10" s="11">
        <f t="shared" si="2"/>
        <v>80.75</v>
      </c>
      <c r="X10" s="16" t="s">
        <v>32</v>
      </c>
      <c r="Y10" s="16">
        <f>COUNTIF(U5:U76,"&lt;50")</f>
        <v>2</v>
      </c>
    </row>
    <row r="11" spans="1:25">
      <c r="A11">
        <v>8</v>
      </c>
      <c r="B11" t="s">
        <v>33</v>
      </c>
      <c r="C11" t="s">
        <v>34</v>
      </c>
      <c r="D11" s="2"/>
      <c r="E11" s="2">
        <v>25</v>
      </c>
      <c r="F11" s="2">
        <v>38</v>
      </c>
      <c r="G11" s="8">
        <f t="shared" si="0"/>
        <v>0</v>
      </c>
      <c r="H11" s="8">
        <f t="shared" si="0"/>
        <v>18.75</v>
      </c>
      <c r="I11" s="8">
        <f t="shared" si="0"/>
        <v>28.5</v>
      </c>
      <c r="J11" s="8">
        <f>VLOOKUP(C11,[1]Sheet1!$B$9:$H$77,7,FALSE)</f>
        <v>19</v>
      </c>
      <c r="K11" s="8"/>
      <c r="M11" s="2">
        <v>18</v>
      </c>
      <c r="N11" s="2">
        <v>25</v>
      </c>
      <c r="O11" s="2">
        <v>38</v>
      </c>
      <c r="P11" s="8">
        <f t="shared" si="1"/>
        <v>13.5</v>
      </c>
      <c r="Q11" s="8">
        <f t="shared" si="1"/>
        <v>18.75</v>
      </c>
      <c r="R11" s="8">
        <f t="shared" si="1"/>
        <v>28.5</v>
      </c>
      <c r="S11" s="8">
        <v>19</v>
      </c>
      <c r="T11" s="8">
        <v>5</v>
      </c>
      <c r="U11" s="11">
        <f t="shared" si="2"/>
        <v>84.75</v>
      </c>
    </row>
    <row r="12" spans="1:25">
      <c r="A12">
        <v>9</v>
      </c>
      <c r="B12" t="s">
        <v>35</v>
      </c>
      <c r="C12" t="s">
        <v>36</v>
      </c>
      <c r="D12" s="2"/>
      <c r="E12" s="2">
        <v>20</v>
      </c>
      <c r="F12" s="2">
        <v>29</v>
      </c>
      <c r="G12" s="8">
        <f t="shared" si="0"/>
        <v>0</v>
      </c>
      <c r="H12" s="8">
        <f t="shared" si="0"/>
        <v>15</v>
      </c>
      <c r="I12" s="8">
        <f t="shared" si="0"/>
        <v>21.75</v>
      </c>
      <c r="J12" s="8">
        <f>VLOOKUP(C12,[1]Sheet1!$B$9:$H$77,7,FALSE)</f>
        <v>15</v>
      </c>
      <c r="K12" s="8"/>
      <c r="M12" s="2">
        <v>14</v>
      </c>
      <c r="N12" s="2">
        <v>20</v>
      </c>
      <c r="O12" s="2">
        <v>29</v>
      </c>
      <c r="P12" s="8">
        <f t="shared" si="1"/>
        <v>10.5</v>
      </c>
      <c r="Q12" s="8">
        <f t="shared" si="1"/>
        <v>15</v>
      </c>
      <c r="R12" s="8">
        <f t="shared" si="1"/>
        <v>21.75</v>
      </c>
      <c r="S12" s="8">
        <v>15</v>
      </c>
      <c r="T12" s="8">
        <v>5</v>
      </c>
      <c r="U12" s="11">
        <f t="shared" si="2"/>
        <v>67.25</v>
      </c>
    </row>
    <row r="13" spans="1:25">
      <c r="A13">
        <v>10</v>
      </c>
      <c r="B13" t="s">
        <v>37</v>
      </c>
      <c r="C13" t="s">
        <v>38</v>
      </c>
      <c r="D13" s="2"/>
      <c r="E13" s="2">
        <v>19</v>
      </c>
      <c r="F13" s="2">
        <v>43</v>
      </c>
      <c r="G13" s="8">
        <f t="shared" si="0"/>
        <v>0</v>
      </c>
      <c r="H13" s="8">
        <f t="shared" si="0"/>
        <v>14.25</v>
      </c>
      <c r="I13" s="8">
        <f t="shared" si="0"/>
        <v>32.25</v>
      </c>
      <c r="J13" s="8">
        <f>VLOOKUP(C13,[1]Sheet1!$B$9:$H$77,7,FALSE)</f>
        <v>20</v>
      </c>
      <c r="K13" s="8"/>
      <c r="M13" s="2">
        <v>18</v>
      </c>
      <c r="N13" s="2">
        <v>19</v>
      </c>
      <c r="O13" s="2">
        <v>43</v>
      </c>
      <c r="P13" s="8">
        <f t="shared" si="1"/>
        <v>13.5</v>
      </c>
      <c r="Q13" s="8">
        <f t="shared" si="1"/>
        <v>14.25</v>
      </c>
      <c r="R13" s="8">
        <f t="shared" si="1"/>
        <v>32.25</v>
      </c>
      <c r="S13" s="8">
        <v>20</v>
      </c>
      <c r="T13" s="8">
        <v>5</v>
      </c>
      <c r="U13" s="11">
        <f t="shared" si="2"/>
        <v>85</v>
      </c>
    </row>
    <row r="14" spans="1:25">
      <c r="A14">
        <v>11</v>
      </c>
      <c r="B14" t="s">
        <v>39</v>
      </c>
      <c r="C14" t="s">
        <v>40</v>
      </c>
      <c r="D14" s="2"/>
      <c r="E14" s="2">
        <v>18</v>
      </c>
      <c r="F14" s="2">
        <v>27</v>
      </c>
      <c r="G14" s="8">
        <f t="shared" si="0"/>
        <v>0</v>
      </c>
      <c r="H14" s="8">
        <f t="shared" si="0"/>
        <v>13.5</v>
      </c>
      <c r="I14" s="8">
        <f t="shared" si="0"/>
        <v>20.25</v>
      </c>
      <c r="J14" s="8">
        <f>VLOOKUP(C14,[1]Sheet1!$B$9:$H$77,7,FALSE)</f>
        <v>16</v>
      </c>
      <c r="K14" s="8"/>
      <c r="M14" s="2">
        <v>14</v>
      </c>
      <c r="N14" s="2">
        <v>18</v>
      </c>
      <c r="O14" s="2">
        <v>27</v>
      </c>
      <c r="P14" s="8">
        <f t="shared" si="1"/>
        <v>10.5</v>
      </c>
      <c r="Q14" s="8">
        <f t="shared" si="1"/>
        <v>13.5</v>
      </c>
      <c r="R14" s="8">
        <f t="shared" si="1"/>
        <v>20.25</v>
      </c>
      <c r="S14" s="8">
        <v>16</v>
      </c>
      <c r="T14" s="8">
        <v>5</v>
      </c>
      <c r="U14" s="11">
        <f t="shared" si="2"/>
        <v>65.25</v>
      </c>
    </row>
    <row r="15" spans="1:25">
      <c r="A15">
        <v>12</v>
      </c>
      <c r="B15" t="s">
        <v>41</v>
      </c>
      <c r="C15" t="s">
        <v>42</v>
      </c>
      <c r="D15" s="2"/>
      <c r="E15" s="2">
        <v>27</v>
      </c>
      <c r="F15" s="2">
        <v>45</v>
      </c>
      <c r="G15" s="8">
        <f t="shared" si="0"/>
        <v>0</v>
      </c>
      <c r="H15" s="8">
        <f t="shared" si="0"/>
        <v>20.25</v>
      </c>
      <c r="I15" s="8">
        <f t="shared" si="0"/>
        <v>33.75</v>
      </c>
      <c r="J15" s="8">
        <f>VLOOKUP(C15,[1]Sheet1!$B$9:$H$77,7,FALSE)</f>
        <v>19</v>
      </c>
      <c r="K15" s="8"/>
      <c r="M15" s="2">
        <v>17</v>
      </c>
      <c r="N15" s="2">
        <v>27</v>
      </c>
      <c r="O15" s="2">
        <v>45</v>
      </c>
      <c r="P15" s="8">
        <f t="shared" si="1"/>
        <v>12.75</v>
      </c>
      <c r="Q15" s="8">
        <f t="shared" si="1"/>
        <v>20.25</v>
      </c>
      <c r="R15" s="8">
        <f t="shared" si="1"/>
        <v>33.75</v>
      </c>
      <c r="S15" s="8">
        <v>19</v>
      </c>
      <c r="T15" s="8">
        <v>5</v>
      </c>
      <c r="U15" s="11">
        <f t="shared" si="2"/>
        <v>90.75</v>
      </c>
    </row>
    <row r="16" spans="1:25">
      <c r="A16">
        <v>13</v>
      </c>
      <c r="B16" t="s">
        <v>43</v>
      </c>
      <c r="C16" t="s">
        <v>44</v>
      </c>
      <c r="D16" s="2"/>
      <c r="E16" s="2">
        <v>19</v>
      </c>
      <c r="F16" s="2">
        <v>27</v>
      </c>
      <c r="G16" s="8">
        <f t="shared" si="0"/>
        <v>0</v>
      </c>
      <c r="H16" s="8">
        <f t="shared" si="0"/>
        <v>14.25</v>
      </c>
      <c r="I16" s="8">
        <f t="shared" si="0"/>
        <v>20.25</v>
      </c>
      <c r="J16" s="8">
        <f>VLOOKUP(C16,[1]Sheet1!$B$9:$H$77,7,FALSE)</f>
        <v>18</v>
      </c>
      <c r="K16" s="8"/>
      <c r="M16" s="2">
        <v>16</v>
      </c>
      <c r="N16" s="2">
        <v>19</v>
      </c>
      <c r="O16" s="2">
        <v>27</v>
      </c>
      <c r="P16" s="8">
        <f t="shared" si="1"/>
        <v>12</v>
      </c>
      <c r="Q16" s="8">
        <f t="shared" si="1"/>
        <v>14.25</v>
      </c>
      <c r="R16" s="8">
        <f t="shared" si="1"/>
        <v>20.25</v>
      </c>
      <c r="S16" s="8">
        <v>18</v>
      </c>
      <c r="T16" s="8">
        <v>5</v>
      </c>
      <c r="U16" s="11">
        <f t="shared" si="2"/>
        <v>69.5</v>
      </c>
    </row>
    <row r="17" spans="1:21">
      <c r="A17">
        <v>14</v>
      </c>
      <c r="B17" t="s">
        <v>45</v>
      </c>
      <c r="C17" t="s">
        <v>46</v>
      </c>
      <c r="D17" s="2"/>
      <c r="E17" s="2">
        <v>11</v>
      </c>
      <c r="F17" s="2">
        <v>20</v>
      </c>
      <c r="G17" s="8">
        <f t="shared" si="0"/>
        <v>0</v>
      </c>
      <c r="H17" s="8">
        <f t="shared" si="0"/>
        <v>8.25</v>
      </c>
      <c r="I17" s="8">
        <f t="shared" si="0"/>
        <v>15</v>
      </c>
      <c r="J17" s="8">
        <f>VLOOKUP(C17,[1]Sheet1!$B$9:$H$77,7,FALSE)</f>
        <v>15</v>
      </c>
      <c r="K17" s="8"/>
      <c r="M17" s="2">
        <v>14</v>
      </c>
      <c r="N17" s="2">
        <v>11</v>
      </c>
      <c r="O17" s="2">
        <v>20</v>
      </c>
      <c r="P17" s="8">
        <f t="shared" si="1"/>
        <v>10.5</v>
      </c>
      <c r="Q17" s="8">
        <f t="shared" si="1"/>
        <v>8.25</v>
      </c>
      <c r="R17" s="8">
        <f t="shared" si="1"/>
        <v>15</v>
      </c>
      <c r="S17" s="8">
        <v>15</v>
      </c>
      <c r="T17" s="8">
        <v>5</v>
      </c>
      <c r="U17" s="11">
        <f t="shared" si="2"/>
        <v>53.75</v>
      </c>
    </row>
    <row r="18" spans="1:21">
      <c r="A18">
        <v>15</v>
      </c>
      <c r="B18" t="s">
        <v>47</v>
      </c>
      <c r="C18" t="s">
        <v>48</v>
      </c>
      <c r="D18" s="2"/>
      <c r="E18" s="2">
        <v>14</v>
      </c>
      <c r="F18" s="2">
        <v>26</v>
      </c>
      <c r="G18" s="8">
        <f t="shared" si="0"/>
        <v>0</v>
      </c>
      <c r="H18" s="8">
        <f t="shared" si="0"/>
        <v>10.5</v>
      </c>
      <c r="I18" s="8">
        <f t="shared" si="0"/>
        <v>19.5</v>
      </c>
      <c r="J18" s="8">
        <f>VLOOKUP(C18,[1]Sheet1!$B$9:$H$77,7,FALSE)</f>
        <v>15</v>
      </c>
      <c r="K18" s="8"/>
      <c r="M18" s="2">
        <v>14</v>
      </c>
      <c r="N18" s="2">
        <v>14</v>
      </c>
      <c r="O18" s="2">
        <v>26</v>
      </c>
      <c r="P18" s="8">
        <f t="shared" si="1"/>
        <v>10.5</v>
      </c>
      <c r="Q18" s="8">
        <f t="shared" si="1"/>
        <v>10.5</v>
      </c>
      <c r="R18" s="8">
        <f t="shared" si="1"/>
        <v>19.5</v>
      </c>
      <c r="S18" s="8">
        <v>15</v>
      </c>
      <c r="T18" s="8">
        <v>5</v>
      </c>
      <c r="U18" s="11">
        <f t="shared" si="2"/>
        <v>60.5</v>
      </c>
    </row>
    <row r="19" spans="1:21">
      <c r="A19">
        <v>16</v>
      </c>
      <c r="B19" t="s">
        <v>49</v>
      </c>
      <c r="C19" t="s">
        <v>50</v>
      </c>
      <c r="D19" s="2"/>
      <c r="E19" s="2">
        <v>22</v>
      </c>
      <c r="F19" s="2">
        <v>36</v>
      </c>
      <c r="G19" s="8">
        <f t="shared" si="0"/>
        <v>0</v>
      </c>
      <c r="H19" s="8">
        <f t="shared" si="0"/>
        <v>16.5</v>
      </c>
      <c r="I19" s="8">
        <f t="shared" si="0"/>
        <v>27</v>
      </c>
      <c r="J19" s="8">
        <f>VLOOKUP(C19,[1]Sheet1!$B$9:$H$77,7,FALSE)</f>
        <v>20</v>
      </c>
      <c r="K19" s="8"/>
      <c r="M19" s="2">
        <v>15</v>
      </c>
      <c r="N19" s="2">
        <v>22</v>
      </c>
      <c r="O19" s="2">
        <v>36</v>
      </c>
      <c r="P19" s="8">
        <f t="shared" si="1"/>
        <v>11.25</v>
      </c>
      <c r="Q19" s="8">
        <f t="shared" si="1"/>
        <v>16.5</v>
      </c>
      <c r="R19" s="8">
        <f t="shared" si="1"/>
        <v>27</v>
      </c>
      <c r="S19" s="8">
        <v>20</v>
      </c>
      <c r="T19" s="8">
        <v>5</v>
      </c>
      <c r="U19" s="11">
        <f t="shared" si="2"/>
        <v>79.75</v>
      </c>
    </row>
    <row r="20" spans="1:21">
      <c r="A20">
        <v>17</v>
      </c>
      <c r="B20" t="s">
        <v>51</v>
      </c>
      <c r="C20" t="s">
        <v>52</v>
      </c>
      <c r="D20" s="2"/>
      <c r="E20" s="2">
        <v>23</v>
      </c>
      <c r="F20" s="2">
        <v>25</v>
      </c>
      <c r="G20" s="8">
        <f t="shared" si="0"/>
        <v>0</v>
      </c>
      <c r="H20" s="8">
        <f t="shared" si="0"/>
        <v>17.25</v>
      </c>
      <c r="I20" s="8">
        <f t="shared" si="0"/>
        <v>18.75</v>
      </c>
      <c r="J20" s="8">
        <f>VLOOKUP(C20,[1]Sheet1!$B$9:$H$77,7,FALSE)</f>
        <v>20</v>
      </c>
      <c r="K20" s="8"/>
      <c r="M20" s="2">
        <v>17</v>
      </c>
      <c r="N20" s="2">
        <v>23</v>
      </c>
      <c r="O20" s="2">
        <v>25</v>
      </c>
      <c r="P20" s="8">
        <f t="shared" si="1"/>
        <v>12.75</v>
      </c>
      <c r="Q20" s="8">
        <f t="shared" si="1"/>
        <v>17.25</v>
      </c>
      <c r="R20" s="8">
        <f t="shared" si="1"/>
        <v>18.75</v>
      </c>
      <c r="S20" s="8">
        <v>20</v>
      </c>
      <c r="T20" s="8">
        <v>5</v>
      </c>
      <c r="U20" s="11">
        <f t="shared" si="2"/>
        <v>73.75</v>
      </c>
    </row>
    <row r="21" spans="1:21">
      <c r="A21">
        <v>18</v>
      </c>
      <c r="B21" t="s">
        <v>53</v>
      </c>
      <c r="C21" t="s">
        <v>54</v>
      </c>
      <c r="D21" s="2"/>
      <c r="E21" s="2">
        <v>18</v>
      </c>
      <c r="F21" s="2">
        <v>22</v>
      </c>
      <c r="G21" s="8">
        <f t="shared" si="0"/>
        <v>0</v>
      </c>
      <c r="H21" s="8">
        <f t="shared" si="0"/>
        <v>13.5</v>
      </c>
      <c r="I21" s="8">
        <f t="shared" si="0"/>
        <v>16.5</v>
      </c>
      <c r="J21" s="8">
        <f>VLOOKUP(C21,[1]Sheet1!$B$9:$H$77,7,FALSE)</f>
        <v>13</v>
      </c>
      <c r="K21" s="8"/>
      <c r="M21" s="2">
        <v>16</v>
      </c>
      <c r="N21" s="2">
        <v>18</v>
      </c>
      <c r="O21" s="2">
        <v>22</v>
      </c>
      <c r="P21" s="8">
        <f t="shared" si="1"/>
        <v>12</v>
      </c>
      <c r="Q21" s="8">
        <f t="shared" si="1"/>
        <v>13.5</v>
      </c>
      <c r="R21" s="8">
        <f t="shared" si="1"/>
        <v>16.5</v>
      </c>
      <c r="S21" s="8">
        <v>13</v>
      </c>
      <c r="T21" s="8">
        <v>5</v>
      </c>
      <c r="U21" s="11">
        <f t="shared" si="2"/>
        <v>60</v>
      </c>
    </row>
    <row r="22" spans="1:21">
      <c r="A22">
        <v>19</v>
      </c>
      <c r="B22" t="s">
        <v>55</v>
      </c>
      <c r="C22" t="s">
        <v>56</v>
      </c>
      <c r="D22" s="2"/>
      <c r="E22" s="2">
        <v>23</v>
      </c>
      <c r="F22" s="2">
        <v>29</v>
      </c>
      <c r="G22" s="8">
        <f t="shared" si="0"/>
        <v>0</v>
      </c>
      <c r="H22" s="8">
        <f t="shared" si="0"/>
        <v>17.25</v>
      </c>
      <c r="I22" s="8">
        <f t="shared" si="0"/>
        <v>21.75</v>
      </c>
      <c r="J22" s="8">
        <f>VLOOKUP(C22,[1]Sheet1!$B$9:$H$77,7,FALSE)</f>
        <v>15</v>
      </c>
      <c r="K22" s="8"/>
      <c r="M22" s="2">
        <v>17</v>
      </c>
      <c r="N22" s="2">
        <v>23</v>
      </c>
      <c r="O22" s="2">
        <v>29</v>
      </c>
      <c r="P22" s="8">
        <f t="shared" si="1"/>
        <v>12.75</v>
      </c>
      <c r="Q22" s="8">
        <f t="shared" si="1"/>
        <v>17.25</v>
      </c>
      <c r="R22" s="8">
        <f t="shared" si="1"/>
        <v>21.75</v>
      </c>
      <c r="S22" s="8">
        <v>15</v>
      </c>
      <c r="T22" s="8">
        <v>5</v>
      </c>
      <c r="U22" s="11">
        <f t="shared" si="2"/>
        <v>71.75</v>
      </c>
    </row>
    <row r="23" spans="1:21">
      <c r="A23">
        <v>20</v>
      </c>
      <c r="B23" t="s">
        <v>57</v>
      </c>
      <c r="C23" t="s">
        <v>58</v>
      </c>
      <c r="D23" s="2"/>
      <c r="E23" s="2">
        <v>24</v>
      </c>
      <c r="F23" s="2">
        <v>47</v>
      </c>
      <c r="G23" s="8">
        <f t="shared" si="0"/>
        <v>0</v>
      </c>
      <c r="H23" s="8">
        <f t="shared" si="0"/>
        <v>18</v>
      </c>
      <c r="I23" s="8">
        <f t="shared" si="0"/>
        <v>35.25</v>
      </c>
      <c r="J23" s="8">
        <f>VLOOKUP(C23,[1]Sheet1!$B$9:$H$77,7,FALSE)</f>
        <v>16</v>
      </c>
      <c r="K23" s="8"/>
      <c r="M23" s="2">
        <v>17</v>
      </c>
      <c r="N23" s="2">
        <v>24</v>
      </c>
      <c r="O23" s="2">
        <v>47</v>
      </c>
      <c r="P23" s="8">
        <f t="shared" si="1"/>
        <v>12.75</v>
      </c>
      <c r="Q23" s="8">
        <f t="shared" si="1"/>
        <v>18</v>
      </c>
      <c r="R23" s="8">
        <f t="shared" si="1"/>
        <v>35.25</v>
      </c>
      <c r="S23" s="8">
        <v>16</v>
      </c>
      <c r="T23" s="8">
        <v>5</v>
      </c>
      <c r="U23" s="11">
        <f t="shared" si="2"/>
        <v>87</v>
      </c>
    </row>
    <row r="24" spans="1:21">
      <c r="A24">
        <v>21</v>
      </c>
      <c r="B24" t="s">
        <v>59</v>
      </c>
      <c r="C24" t="s">
        <v>60</v>
      </c>
      <c r="D24" s="2"/>
      <c r="E24" s="2">
        <v>29</v>
      </c>
      <c r="F24" s="2">
        <v>41</v>
      </c>
      <c r="G24" s="8">
        <f t="shared" si="0"/>
        <v>0</v>
      </c>
      <c r="H24" s="8">
        <f t="shared" si="0"/>
        <v>21.75</v>
      </c>
      <c r="I24" s="8">
        <f t="shared" si="0"/>
        <v>30.75</v>
      </c>
      <c r="J24" s="8">
        <f>VLOOKUP(C24,[1]Sheet1!$B$9:$H$77,7,FALSE)</f>
        <v>20</v>
      </c>
      <c r="K24" s="8"/>
      <c r="M24" s="2">
        <v>20</v>
      </c>
      <c r="N24" s="2">
        <v>29</v>
      </c>
      <c r="O24" s="2">
        <v>41</v>
      </c>
      <c r="P24" s="8">
        <f t="shared" si="1"/>
        <v>15</v>
      </c>
      <c r="Q24" s="8">
        <f t="shared" si="1"/>
        <v>21.75</v>
      </c>
      <c r="R24" s="8">
        <f t="shared" si="1"/>
        <v>30.75</v>
      </c>
      <c r="S24" s="8">
        <v>20</v>
      </c>
      <c r="T24" s="8">
        <v>5</v>
      </c>
      <c r="U24" s="11">
        <f t="shared" si="2"/>
        <v>92.5</v>
      </c>
    </row>
    <row r="25" spans="1:21">
      <c r="A25">
        <v>22</v>
      </c>
      <c r="B25" t="s">
        <v>61</v>
      </c>
      <c r="C25" t="s">
        <v>62</v>
      </c>
      <c r="D25" s="2"/>
      <c r="E25" s="2">
        <v>25</v>
      </c>
      <c r="F25" s="2">
        <v>33</v>
      </c>
      <c r="G25" s="8">
        <f t="shared" si="0"/>
        <v>0</v>
      </c>
      <c r="H25" s="8">
        <f t="shared" si="0"/>
        <v>18.75</v>
      </c>
      <c r="I25" s="8">
        <f t="shared" si="0"/>
        <v>24.75</v>
      </c>
      <c r="J25" s="8">
        <f>VLOOKUP(C25,[1]Sheet1!$B$9:$H$77,7,FALSE)</f>
        <v>16</v>
      </c>
      <c r="K25" s="8"/>
      <c r="M25" s="2">
        <v>17</v>
      </c>
      <c r="N25" s="2">
        <v>25</v>
      </c>
      <c r="O25" s="2">
        <v>33</v>
      </c>
      <c r="P25" s="8">
        <f t="shared" si="1"/>
        <v>12.75</v>
      </c>
      <c r="Q25" s="8">
        <f t="shared" si="1"/>
        <v>18.75</v>
      </c>
      <c r="R25" s="8">
        <f t="shared" si="1"/>
        <v>24.75</v>
      </c>
      <c r="S25" s="8">
        <v>16</v>
      </c>
      <c r="T25" s="8">
        <v>5</v>
      </c>
      <c r="U25" s="11">
        <f t="shared" si="2"/>
        <v>77.25</v>
      </c>
    </row>
    <row r="26" spans="1:21">
      <c r="A26">
        <v>23</v>
      </c>
      <c r="B26" t="s">
        <v>63</v>
      </c>
      <c r="C26" t="s">
        <v>64</v>
      </c>
      <c r="D26" s="2"/>
      <c r="E26" s="2">
        <v>20</v>
      </c>
      <c r="F26" s="2">
        <v>30</v>
      </c>
      <c r="G26" s="8">
        <f t="shared" si="0"/>
        <v>0</v>
      </c>
      <c r="H26" s="8">
        <f t="shared" si="0"/>
        <v>15</v>
      </c>
      <c r="I26" s="8">
        <f t="shared" si="0"/>
        <v>22.5</v>
      </c>
      <c r="J26" s="8">
        <f>VLOOKUP(C26,[1]Sheet1!$B$9:$H$77,7,FALSE)</f>
        <v>14</v>
      </c>
      <c r="K26" s="8"/>
      <c r="M26" s="2">
        <v>18</v>
      </c>
      <c r="N26" s="2">
        <v>20</v>
      </c>
      <c r="O26" s="2">
        <v>30</v>
      </c>
      <c r="P26" s="8">
        <f t="shared" si="1"/>
        <v>13.5</v>
      </c>
      <c r="Q26" s="8">
        <f t="shared" si="1"/>
        <v>15</v>
      </c>
      <c r="R26" s="8">
        <f t="shared" si="1"/>
        <v>22.5</v>
      </c>
      <c r="S26" s="8">
        <v>14</v>
      </c>
      <c r="T26" s="8">
        <v>5</v>
      </c>
      <c r="U26" s="11">
        <f t="shared" si="2"/>
        <v>70</v>
      </c>
    </row>
    <row r="27" spans="1:21">
      <c r="A27">
        <v>24</v>
      </c>
      <c r="B27" t="s">
        <v>65</v>
      </c>
      <c r="C27" t="s">
        <v>66</v>
      </c>
      <c r="D27" s="2"/>
      <c r="E27" s="2">
        <v>24</v>
      </c>
      <c r="F27" s="2">
        <v>36</v>
      </c>
      <c r="G27" s="8">
        <f t="shared" si="0"/>
        <v>0</v>
      </c>
      <c r="H27" s="8">
        <f t="shared" si="0"/>
        <v>18</v>
      </c>
      <c r="I27" s="8">
        <f t="shared" si="0"/>
        <v>27</v>
      </c>
      <c r="J27" s="8">
        <f>VLOOKUP(C27,[1]Sheet1!$B$9:$H$77,7,FALSE)</f>
        <v>18</v>
      </c>
      <c r="K27" s="8"/>
      <c r="M27" s="2">
        <v>14</v>
      </c>
      <c r="N27" s="2">
        <v>24</v>
      </c>
      <c r="O27" s="2">
        <v>36</v>
      </c>
      <c r="P27" s="8">
        <f t="shared" si="1"/>
        <v>10.5</v>
      </c>
      <c r="Q27" s="8">
        <f t="shared" si="1"/>
        <v>18</v>
      </c>
      <c r="R27" s="8">
        <f t="shared" si="1"/>
        <v>27</v>
      </c>
      <c r="S27" s="8">
        <v>18</v>
      </c>
      <c r="T27" s="8">
        <v>5</v>
      </c>
      <c r="U27" s="11">
        <f t="shared" si="2"/>
        <v>78.5</v>
      </c>
    </row>
    <row r="28" spans="1:21">
      <c r="A28">
        <v>25</v>
      </c>
      <c r="B28" t="s">
        <v>67</v>
      </c>
      <c r="C28" t="s">
        <v>68</v>
      </c>
      <c r="D28" s="2"/>
      <c r="E28" s="2">
        <v>24</v>
      </c>
      <c r="F28" s="2">
        <v>46</v>
      </c>
      <c r="G28" s="8">
        <f t="shared" si="0"/>
        <v>0</v>
      </c>
      <c r="H28" s="8">
        <f t="shared" si="0"/>
        <v>18</v>
      </c>
      <c r="I28" s="8">
        <f t="shared" si="0"/>
        <v>34.5</v>
      </c>
      <c r="J28" s="8">
        <f>VLOOKUP(C28,[1]Sheet1!$B$9:$H$77,7,FALSE)</f>
        <v>16</v>
      </c>
      <c r="K28" s="8"/>
      <c r="M28" s="2">
        <v>20</v>
      </c>
      <c r="N28" s="2">
        <v>24</v>
      </c>
      <c r="O28" s="2">
        <v>46</v>
      </c>
      <c r="P28" s="8">
        <f t="shared" si="1"/>
        <v>15</v>
      </c>
      <c r="Q28" s="8">
        <f t="shared" si="1"/>
        <v>18</v>
      </c>
      <c r="R28" s="8">
        <f t="shared" si="1"/>
        <v>34.5</v>
      </c>
      <c r="S28" s="8">
        <v>16</v>
      </c>
      <c r="T28" s="8">
        <v>5</v>
      </c>
      <c r="U28" s="11">
        <f t="shared" si="2"/>
        <v>88.5</v>
      </c>
    </row>
    <row r="29" spans="1:21">
      <c r="A29">
        <v>26</v>
      </c>
      <c r="B29" t="s">
        <v>69</v>
      </c>
      <c r="C29" t="s">
        <v>70</v>
      </c>
      <c r="D29" s="2"/>
      <c r="E29" s="2">
        <v>24</v>
      </c>
      <c r="F29" s="2">
        <v>47</v>
      </c>
      <c r="G29" s="8">
        <f t="shared" si="0"/>
        <v>0</v>
      </c>
      <c r="H29" s="8">
        <f t="shared" si="0"/>
        <v>18</v>
      </c>
      <c r="I29" s="8">
        <f t="shared" si="0"/>
        <v>35.25</v>
      </c>
      <c r="J29" s="8">
        <f>VLOOKUP(C29,[1]Sheet1!$B$9:$H$77,7,FALSE)</f>
        <v>20</v>
      </c>
      <c r="K29" s="8"/>
      <c r="M29" s="2">
        <v>20</v>
      </c>
      <c r="N29" s="2">
        <v>24</v>
      </c>
      <c r="O29" s="2">
        <v>47</v>
      </c>
      <c r="P29" s="8">
        <f t="shared" si="1"/>
        <v>15</v>
      </c>
      <c r="Q29" s="8">
        <f t="shared" si="1"/>
        <v>18</v>
      </c>
      <c r="R29" s="8">
        <f t="shared" si="1"/>
        <v>35.25</v>
      </c>
      <c r="S29" s="8">
        <v>20</v>
      </c>
      <c r="T29" s="8">
        <v>5</v>
      </c>
      <c r="U29" s="11">
        <f t="shared" si="2"/>
        <v>93.25</v>
      </c>
    </row>
    <row r="30" spans="1:21">
      <c r="A30">
        <v>27</v>
      </c>
      <c r="B30" t="s">
        <v>71</v>
      </c>
      <c r="C30" t="s">
        <v>72</v>
      </c>
      <c r="D30" s="2"/>
      <c r="E30" s="2">
        <v>25</v>
      </c>
      <c r="F30" s="2">
        <v>36</v>
      </c>
      <c r="G30" s="8">
        <f t="shared" si="0"/>
        <v>0</v>
      </c>
      <c r="H30" s="8">
        <f t="shared" si="0"/>
        <v>18.75</v>
      </c>
      <c r="I30" s="8">
        <f t="shared" si="0"/>
        <v>27</v>
      </c>
      <c r="J30" s="8">
        <f>VLOOKUP(C30,[1]Sheet1!$B$9:$H$77,7,FALSE)</f>
        <v>16</v>
      </c>
      <c r="K30" s="8"/>
      <c r="M30" s="2">
        <v>17</v>
      </c>
      <c r="N30" s="2">
        <v>25</v>
      </c>
      <c r="O30" s="2">
        <v>36</v>
      </c>
      <c r="P30" s="8">
        <f t="shared" si="1"/>
        <v>12.75</v>
      </c>
      <c r="Q30" s="8">
        <f t="shared" si="1"/>
        <v>18.75</v>
      </c>
      <c r="R30" s="8">
        <f t="shared" si="1"/>
        <v>27</v>
      </c>
      <c r="S30" s="8">
        <v>16</v>
      </c>
      <c r="T30" s="8">
        <v>5</v>
      </c>
      <c r="U30" s="11">
        <f t="shared" si="2"/>
        <v>79.5</v>
      </c>
    </row>
    <row r="31" spans="1:21">
      <c r="A31">
        <v>28</v>
      </c>
      <c r="B31" t="s">
        <v>73</v>
      </c>
      <c r="C31" t="s">
        <v>74</v>
      </c>
      <c r="D31" s="2"/>
      <c r="E31" s="2">
        <v>24</v>
      </c>
      <c r="F31" s="2">
        <v>31</v>
      </c>
      <c r="G31" s="8">
        <f t="shared" si="0"/>
        <v>0</v>
      </c>
      <c r="H31" s="8">
        <f t="shared" si="0"/>
        <v>18</v>
      </c>
      <c r="I31" s="8">
        <f t="shared" si="0"/>
        <v>23.25</v>
      </c>
      <c r="J31" s="8">
        <f>VLOOKUP(C31,[1]Sheet1!$B$9:$H$77,7,FALSE)</f>
        <v>14</v>
      </c>
      <c r="K31" s="8"/>
      <c r="M31" s="2">
        <v>14</v>
      </c>
      <c r="N31" s="2">
        <v>24</v>
      </c>
      <c r="O31" s="2">
        <v>31</v>
      </c>
      <c r="P31" s="8">
        <f t="shared" si="1"/>
        <v>10.5</v>
      </c>
      <c r="Q31" s="8">
        <f t="shared" si="1"/>
        <v>18</v>
      </c>
      <c r="R31" s="8">
        <f t="shared" si="1"/>
        <v>23.25</v>
      </c>
      <c r="S31" s="8">
        <v>14</v>
      </c>
      <c r="T31" s="8">
        <v>5</v>
      </c>
      <c r="U31" s="11">
        <f t="shared" si="2"/>
        <v>70.75</v>
      </c>
    </row>
    <row r="32" spans="1:21">
      <c r="A32">
        <v>29</v>
      </c>
      <c r="B32" t="s">
        <v>75</v>
      </c>
      <c r="C32" t="s">
        <v>76</v>
      </c>
      <c r="D32" s="2"/>
      <c r="E32" s="2">
        <v>27</v>
      </c>
      <c r="F32" s="2">
        <v>48</v>
      </c>
      <c r="G32" s="8">
        <f t="shared" si="0"/>
        <v>0</v>
      </c>
      <c r="H32" s="8">
        <f t="shared" si="0"/>
        <v>20.25</v>
      </c>
      <c r="I32" s="8">
        <f t="shared" si="0"/>
        <v>36</v>
      </c>
      <c r="J32" s="8">
        <f>VLOOKUP(C32,[1]Sheet1!$B$9:$H$77,7,FALSE)</f>
        <v>19</v>
      </c>
      <c r="K32" s="8"/>
      <c r="M32" s="2">
        <v>17</v>
      </c>
      <c r="N32" s="2">
        <v>27</v>
      </c>
      <c r="O32" s="2">
        <v>48</v>
      </c>
      <c r="P32" s="8">
        <f t="shared" si="1"/>
        <v>12.75</v>
      </c>
      <c r="Q32" s="8">
        <f t="shared" si="1"/>
        <v>20.25</v>
      </c>
      <c r="R32" s="8">
        <f t="shared" si="1"/>
        <v>36</v>
      </c>
      <c r="S32" s="8">
        <v>19</v>
      </c>
      <c r="T32" s="8">
        <v>5</v>
      </c>
      <c r="U32" s="11">
        <f t="shared" si="2"/>
        <v>93</v>
      </c>
    </row>
    <row r="33" spans="1:21">
      <c r="A33">
        <v>30</v>
      </c>
      <c r="B33" t="s">
        <v>77</v>
      </c>
      <c r="C33" t="s">
        <v>78</v>
      </c>
      <c r="D33" s="2"/>
      <c r="E33" s="2">
        <v>22</v>
      </c>
      <c r="F33" s="2">
        <v>40</v>
      </c>
      <c r="G33" s="8">
        <f t="shared" si="0"/>
        <v>0</v>
      </c>
      <c r="H33" s="8">
        <f t="shared" si="0"/>
        <v>16.5</v>
      </c>
      <c r="I33" s="8">
        <f t="shared" si="0"/>
        <v>30</v>
      </c>
      <c r="J33" s="8">
        <f>VLOOKUP(C33,[1]Sheet1!$B$9:$H$77,7,FALSE)</f>
        <v>15</v>
      </c>
      <c r="K33" s="8"/>
      <c r="M33" s="2">
        <v>14</v>
      </c>
      <c r="N33" s="2">
        <v>22</v>
      </c>
      <c r="O33" s="2">
        <v>40</v>
      </c>
      <c r="P33" s="8">
        <f t="shared" si="1"/>
        <v>10.5</v>
      </c>
      <c r="Q33" s="8">
        <f t="shared" si="1"/>
        <v>16.5</v>
      </c>
      <c r="R33" s="8">
        <f t="shared" si="1"/>
        <v>30</v>
      </c>
      <c r="S33" s="8">
        <v>15</v>
      </c>
      <c r="T33" s="8">
        <v>5</v>
      </c>
      <c r="U33" s="11">
        <f t="shared" si="2"/>
        <v>77</v>
      </c>
    </row>
    <row r="34" spans="1:21">
      <c r="A34">
        <v>31</v>
      </c>
      <c r="B34" t="s">
        <v>79</v>
      </c>
      <c r="C34" t="s">
        <v>80</v>
      </c>
      <c r="D34" s="2"/>
      <c r="E34" s="2">
        <v>26</v>
      </c>
      <c r="F34" s="2">
        <v>33</v>
      </c>
      <c r="G34" s="8">
        <f t="shared" si="0"/>
        <v>0</v>
      </c>
      <c r="H34" s="8">
        <f t="shared" si="0"/>
        <v>19.5</v>
      </c>
      <c r="I34" s="8">
        <f t="shared" si="0"/>
        <v>24.75</v>
      </c>
      <c r="J34" s="8">
        <f>VLOOKUP(C34,[1]Sheet1!$B$9:$H$77,7,FALSE)</f>
        <v>20</v>
      </c>
      <c r="K34" s="8"/>
      <c r="M34" s="2">
        <v>17</v>
      </c>
      <c r="N34" s="2">
        <v>26</v>
      </c>
      <c r="O34" s="2">
        <v>33</v>
      </c>
      <c r="P34" s="8">
        <f t="shared" si="1"/>
        <v>12.75</v>
      </c>
      <c r="Q34" s="8">
        <f t="shared" si="1"/>
        <v>19.5</v>
      </c>
      <c r="R34" s="8">
        <f t="shared" si="1"/>
        <v>24.75</v>
      </c>
      <c r="S34" s="8">
        <v>20</v>
      </c>
      <c r="T34" s="8">
        <v>5</v>
      </c>
      <c r="U34" s="11">
        <f t="shared" si="2"/>
        <v>82</v>
      </c>
    </row>
    <row r="35" spans="1:21">
      <c r="A35">
        <v>32</v>
      </c>
      <c r="B35" t="s">
        <v>81</v>
      </c>
      <c r="C35" t="s">
        <v>82</v>
      </c>
      <c r="D35" s="2"/>
      <c r="E35" s="2">
        <v>13</v>
      </c>
      <c r="F35" s="2">
        <v>26</v>
      </c>
      <c r="G35" s="8">
        <f t="shared" si="0"/>
        <v>0</v>
      </c>
      <c r="H35" s="8">
        <f t="shared" si="0"/>
        <v>9.75</v>
      </c>
      <c r="I35" s="8">
        <f t="shared" si="0"/>
        <v>19.5</v>
      </c>
      <c r="J35" s="8">
        <f>VLOOKUP(C35,[1]Sheet1!$B$9:$H$77,7,FALSE)</f>
        <v>14</v>
      </c>
      <c r="K35" s="8"/>
      <c r="M35" s="2">
        <v>14</v>
      </c>
      <c r="N35" s="2">
        <v>13</v>
      </c>
      <c r="O35" s="2">
        <v>26</v>
      </c>
      <c r="P35" s="8">
        <f t="shared" si="1"/>
        <v>10.5</v>
      </c>
      <c r="Q35" s="8">
        <f t="shared" si="1"/>
        <v>9.75</v>
      </c>
      <c r="R35" s="8">
        <f t="shared" si="1"/>
        <v>19.5</v>
      </c>
      <c r="S35" s="8">
        <v>14</v>
      </c>
      <c r="T35" s="8">
        <v>5</v>
      </c>
      <c r="U35" s="11">
        <f t="shared" si="2"/>
        <v>58.75</v>
      </c>
    </row>
    <row r="36" spans="1:21">
      <c r="A36">
        <v>33</v>
      </c>
      <c r="B36" t="s">
        <v>83</v>
      </c>
      <c r="C36" t="s">
        <v>84</v>
      </c>
      <c r="D36" s="2"/>
      <c r="E36" s="2">
        <v>23</v>
      </c>
      <c r="F36" s="2">
        <v>40</v>
      </c>
      <c r="G36" s="8">
        <f t="shared" si="0"/>
        <v>0</v>
      </c>
      <c r="H36" s="8">
        <f t="shared" si="0"/>
        <v>17.25</v>
      </c>
      <c r="I36" s="8">
        <f t="shared" si="0"/>
        <v>30</v>
      </c>
      <c r="J36" s="8">
        <f>VLOOKUP(C36,[1]Sheet1!$B$9:$H$77,7,FALSE)</f>
        <v>20</v>
      </c>
      <c r="K36" s="8"/>
      <c r="M36" s="2">
        <v>14</v>
      </c>
      <c r="N36" s="2">
        <v>23</v>
      </c>
      <c r="O36" s="2">
        <v>40</v>
      </c>
      <c r="P36" s="8">
        <f t="shared" si="1"/>
        <v>10.5</v>
      </c>
      <c r="Q36" s="8">
        <f t="shared" si="1"/>
        <v>17.25</v>
      </c>
      <c r="R36" s="8">
        <f t="shared" si="1"/>
        <v>30</v>
      </c>
      <c r="S36" s="8">
        <v>20</v>
      </c>
      <c r="T36" s="8">
        <v>5</v>
      </c>
      <c r="U36" s="11">
        <f t="shared" si="2"/>
        <v>82.75</v>
      </c>
    </row>
    <row r="37" spans="1:21">
      <c r="A37">
        <v>34</v>
      </c>
      <c r="B37" t="s">
        <v>85</v>
      </c>
      <c r="C37" t="s">
        <v>86</v>
      </c>
      <c r="D37" s="2"/>
      <c r="E37" s="2">
        <v>27</v>
      </c>
      <c r="F37" s="2">
        <v>41</v>
      </c>
      <c r="G37" s="8">
        <f t="shared" ref="G37:I73" si="3">D37*0.75</f>
        <v>0</v>
      </c>
      <c r="H37" s="8">
        <f t="shared" si="3"/>
        <v>20.25</v>
      </c>
      <c r="I37" s="8">
        <f t="shared" si="3"/>
        <v>30.75</v>
      </c>
      <c r="J37" s="8">
        <f>VLOOKUP(C37,[1]Sheet1!$B$9:$H$77,7,FALSE)</f>
        <v>20</v>
      </c>
      <c r="K37" s="8"/>
      <c r="M37" s="2">
        <v>20</v>
      </c>
      <c r="N37" s="2">
        <v>27</v>
      </c>
      <c r="O37" s="2">
        <v>41</v>
      </c>
      <c r="P37" s="8">
        <f t="shared" ref="P37:R76" si="4">M37*0.75</f>
        <v>15</v>
      </c>
      <c r="Q37" s="8">
        <f t="shared" si="4"/>
        <v>20.25</v>
      </c>
      <c r="R37" s="8">
        <f t="shared" si="4"/>
        <v>30.75</v>
      </c>
      <c r="S37" s="8">
        <v>20</v>
      </c>
      <c r="T37" s="8">
        <v>5</v>
      </c>
      <c r="U37" s="11">
        <f t="shared" si="2"/>
        <v>91</v>
      </c>
    </row>
    <row r="38" spans="1:21">
      <c r="A38">
        <v>35</v>
      </c>
      <c r="B38" t="s">
        <v>87</v>
      </c>
      <c r="C38" t="s">
        <v>88</v>
      </c>
      <c r="D38" s="2"/>
      <c r="E38" s="2">
        <v>18</v>
      </c>
      <c r="F38" s="2">
        <v>27</v>
      </c>
      <c r="G38" s="8">
        <f t="shared" si="3"/>
        <v>0</v>
      </c>
      <c r="H38" s="8">
        <f t="shared" si="3"/>
        <v>13.5</v>
      </c>
      <c r="I38" s="8">
        <f t="shared" si="3"/>
        <v>20.25</v>
      </c>
      <c r="J38" s="8">
        <f>VLOOKUP(C38,[1]Sheet1!$B$9:$H$77,7,FALSE)</f>
        <v>14</v>
      </c>
      <c r="K38" s="8"/>
      <c r="M38" s="2">
        <v>17</v>
      </c>
      <c r="N38" s="2">
        <v>18</v>
      </c>
      <c r="O38" s="2">
        <v>27</v>
      </c>
      <c r="P38" s="8">
        <f t="shared" si="4"/>
        <v>12.75</v>
      </c>
      <c r="Q38" s="8">
        <f t="shared" si="4"/>
        <v>13.5</v>
      </c>
      <c r="R38" s="8">
        <f t="shared" si="4"/>
        <v>20.25</v>
      </c>
      <c r="S38" s="8">
        <v>14</v>
      </c>
      <c r="T38" s="8">
        <v>5</v>
      </c>
      <c r="U38" s="11">
        <f t="shared" si="2"/>
        <v>65.5</v>
      </c>
    </row>
    <row r="39" spans="1:21">
      <c r="A39">
        <v>36</v>
      </c>
      <c r="B39" t="s">
        <v>89</v>
      </c>
      <c r="C39" t="s">
        <v>90</v>
      </c>
      <c r="D39" s="2"/>
      <c r="E39" s="2">
        <v>22</v>
      </c>
      <c r="F39" s="2">
        <v>37</v>
      </c>
      <c r="G39" s="8">
        <f t="shared" si="3"/>
        <v>0</v>
      </c>
      <c r="H39" s="8">
        <f t="shared" si="3"/>
        <v>16.5</v>
      </c>
      <c r="I39" s="8">
        <f t="shared" si="3"/>
        <v>27.75</v>
      </c>
      <c r="J39" s="8">
        <f>VLOOKUP(C39,[1]Sheet1!$B$9:$H$77,7,FALSE)</f>
        <v>14</v>
      </c>
      <c r="K39" s="8"/>
      <c r="M39" s="2">
        <v>17</v>
      </c>
      <c r="N39" s="2">
        <v>22</v>
      </c>
      <c r="O39" s="2">
        <v>37</v>
      </c>
      <c r="P39" s="8">
        <f t="shared" si="4"/>
        <v>12.75</v>
      </c>
      <c r="Q39" s="8">
        <f t="shared" si="4"/>
        <v>16.5</v>
      </c>
      <c r="R39" s="8">
        <f t="shared" si="4"/>
        <v>27.75</v>
      </c>
      <c r="S39" s="8">
        <v>14</v>
      </c>
      <c r="T39" s="8">
        <v>5</v>
      </c>
      <c r="U39" s="11">
        <f t="shared" si="2"/>
        <v>76</v>
      </c>
    </row>
    <row r="40" spans="1:21">
      <c r="A40">
        <v>37</v>
      </c>
      <c r="B40" t="s">
        <v>91</v>
      </c>
      <c r="C40" t="s">
        <v>92</v>
      </c>
      <c r="D40" s="2"/>
      <c r="E40" s="2">
        <v>22</v>
      </c>
      <c r="F40" s="2">
        <v>48</v>
      </c>
      <c r="G40" s="8">
        <v>15</v>
      </c>
      <c r="H40" s="8">
        <f t="shared" si="3"/>
        <v>16.5</v>
      </c>
      <c r="I40" s="8">
        <f t="shared" si="3"/>
        <v>36</v>
      </c>
      <c r="J40" s="8">
        <f>VLOOKUP(C40,[1]Sheet1!$B$9:$H$77,7,FALSE)</f>
        <v>20</v>
      </c>
      <c r="K40" s="8"/>
      <c r="L40" s="11"/>
      <c r="M40" s="2">
        <v>17</v>
      </c>
      <c r="N40" s="2">
        <v>22</v>
      </c>
      <c r="O40" s="2">
        <v>48</v>
      </c>
      <c r="P40" s="8">
        <f t="shared" si="4"/>
        <v>12.75</v>
      </c>
      <c r="Q40" s="8">
        <f t="shared" si="4"/>
        <v>16.5</v>
      </c>
      <c r="R40" s="8">
        <f t="shared" si="4"/>
        <v>36</v>
      </c>
      <c r="S40" s="8">
        <v>20</v>
      </c>
      <c r="T40" s="8">
        <v>5</v>
      </c>
      <c r="U40" s="11">
        <f t="shared" si="2"/>
        <v>90.25</v>
      </c>
    </row>
    <row r="41" spans="1:21">
      <c r="A41">
        <v>38</v>
      </c>
      <c r="B41" t="s">
        <v>93</v>
      </c>
      <c r="C41" t="s">
        <v>94</v>
      </c>
      <c r="D41" s="2"/>
      <c r="E41" s="2">
        <v>23</v>
      </c>
      <c r="F41" s="2">
        <v>39</v>
      </c>
      <c r="G41" s="8">
        <f t="shared" si="3"/>
        <v>0</v>
      </c>
      <c r="H41" s="8">
        <f t="shared" si="3"/>
        <v>17.25</v>
      </c>
      <c r="I41" s="8">
        <f t="shared" si="3"/>
        <v>29.25</v>
      </c>
      <c r="J41" s="8">
        <f>VLOOKUP(C41,[1]Sheet1!$B$9:$H$77,7,FALSE)</f>
        <v>19</v>
      </c>
      <c r="K41" s="8"/>
      <c r="M41" s="2">
        <v>17</v>
      </c>
      <c r="N41" s="2">
        <v>23</v>
      </c>
      <c r="O41" s="2">
        <v>39</v>
      </c>
      <c r="P41" s="8">
        <f t="shared" si="4"/>
        <v>12.75</v>
      </c>
      <c r="Q41" s="8">
        <f t="shared" si="4"/>
        <v>17.25</v>
      </c>
      <c r="R41" s="8">
        <f t="shared" si="4"/>
        <v>29.25</v>
      </c>
      <c r="S41" s="8">
        <v>19</v>
      </c>
      <c r="T41" s="8">
        <v>5</v>
      </c>
      <c r="U41" s="11">
        <f t="shared" si="2"/>
        <v>83.25</v>
      </c>
    </row>
    <row r="42" spans="1:21">
      <c r="A42">
        <v>39</v>
      </c>
      <c r="B42" t="s">
        <v>95</v>
      </c>
      <c r="C42" t="s">
        <v>96</v>
      </c>
      <c r="D42" s="2"/>
      <c r="E42" s="2">
        <v>23</v>
      </c>
      <c r="F42" s="2">
        <v>27</v>
      </c>
      <c r="G42" s="8">
        <f t="shared" si="3"/>
        <v>0</v>
      </c>
      <c r="H42" s="8">
        <f t="shared" si="3"/>
        <v>17.25</v>
      </c>
      <c r="I42" s="8">
        <f t="shared" si="3"/>
        <v>20.25</v>
      </c>
      <c r="J42" s="8">
        <f>VLOOKUP(C42,[1]Sheet1!$B$9:$H$77,7,FALSE)</f>
        <v>17</v>
      </c>
      <c r="K42" s="8"/>
      <c r="M42" s="2">
        <v>14</v>
      </c>
      <c r="N42" s="2">
        <v>23</v>
      </c>
      <c r="O42" s="2">
        <v>27</v>
      </c>
      <c r="P42" s="8">
        <f t="shared" si="4"/>
        <v>10.5</v>
      </c>
      <c r="Q42" s="8">
        <f t="shared" si="4"/>
        <v>17.25</v>
      </c>
      <c r="R42" s="8">
        <f t="shared" si="4"/>
        <v>20.25</v>
      </c>
      <c r="S42" s="8">
        <v>17</v>
      </c>
      <c r="T42" s="8">
        <v>5</v>
      </c>
      <c r="U42" s="11">
        <f t="shared" si="2"/>
        <v>70</v>
      </c>
    </row>
    <row r="43" spans="1:21">
      <c r="A43">
        <v>40</v>
      </c>
      <c r="B43" t="s">
        <v>97</v>
      </c>
      <c r="C43" t="s">
        <v>98</v>
      </c>
      <c r="D43" s="2"/>
      <c r="E43" s="2">
        <v>22</v>
      </c>
      <c r="F43" s="2">
        <v>36</v>
      </c>
      <c r="G43" s="8">
        <f t="shared" si="3"/>
        <v>0</v>
      </c>
      <c r="H43" s="8">
        <f t="shared" si="3"/>
        <v>16.5</v>
      </c>
      <c r="I43" s="8">
        <f t="shared" si="3"/>
        <v>27</v>
      </c>
      <c r="J43" s="8">
        <f>VLOOKUP(C43,[1]Sheet1!$B$9:$H$77,7,FALSE)</f>
        <v>20</v>
      </c>
      <c r="K43" s="8"/>
      <c r="M43" s="2">
        <v>14</v>
      </c>
      <c r="N43" s="2">
        <v>22</v>
      </c>
      <c r="O43" s="2">
        <v>36</v>
      </c>
      <c r="P43" s="8">
        <f t="shared" si="4"/>
        <v>10.5</v>
      </c>
      <c r="Q43" s="8">
        <f t="shared" si="4"/>
        <v>16.5</v>
      </c>
      <c r="R43" s="8">
        <f t="shared" si="4"/>
        <v>27</v>
      </c>
      <c r="S43" s="8">
        <v>20</v>
      </c>
      <c r="T43" s="8">
        <v>5</v>
      </c>
      <c r="U43" s="11">
        <f t="shared" si="2"/>
        <v>79</v>
      </c>
    </row>
    <row r="44" spans="1:21">
      <c r="A44">
        <v>41</v>
      </c>
      <c r="B44" t="s">
        <v>99</v>
      </c>
      <c r="C44" t="s">
        <v>100</v>
      </c>
      <c r="D44" s="2"/>
      <c r="E44" s="2">
        <v>13</v>
      </c>
      <c r="F44" s="2">
        <v>28</v>
      </c>
      <c r="G44" s="8">
        <f t="shared" si="3"/>
        <v>0</v>
      </c>
      <c r="H44" s="8">
        <f t="shared" si="3"/>
        <v>9.75</v>
      </c>
      <c r="I44" s="8">
        <f t="shared" si="3"/>
        <v>21</v>
      </c>
      <c r="J44" s="8">
        <f>VLOOKUP(C44,[1]Sheet1!$B$9:$H$77,7,FALSE)</f>
        <v>14</v>
      </c>
      <c r="K44" s="8"/>
      <c r="M44" s="2">
        <v>14</v>
      </c>
      <c r="N44" s="2">
        <v>13</v>
      </c>
      <c r="O44" s="2">
        <v>28</v>
      </c>
      <c r="P44" s="8">
        <f t="shared" si="4"/>
        <v>10.5</v>
      </c>
      <c r="Q44" s="8">
        <f t="shared" si="4"/>
        <v>9.75</v>
      </c>
      <c r="R44" s="8">
        <f t="shared" si="4"/>
        <v>21</v>
      </c>
      <c r="S44" s="8">
        <v>14</v>
      </c>
      <c r="T44" s="8">
        <v>5</v>
      </c>
      <c r="U44" s="11">
        <f t="shared" si="2"/>
        <v>60.25</v>
      </c>
    </row>
    <row r="45" spans="1:21">
      <c r="A45">
        <v>42</v>
      </c>
      <c r="B45" t="s">
        <v>101</v>
      </c>
      <c r="C45" t="s">
        <v>102</v>
      </c>
      <c r="D45" s="2"/>
      <c r="E45" s="2">
        <v>23</v>
      </c>
      <c r="F45" s="2">
        <v>38</v>
      </c>
      <c r="G45" s="8">
        <f t="shared" si="3"/>
        <v>0</v>
      </c>
      <c r="H45" s="8">
        <f t="shared" si="3"/>
        <v>17.25</v>
      </c>
      <c r="I45" s="8">
        <f t="shared" si="3"/>
        <v>28.5</v>
      </c>
      <c r="J45" s="8">
        <f>VLOOKUP(C45,[1]Sheet1!$B$9:$H$77,7,FALSE)</f>
        <v>20</v>
      </c>
      <c r="K45" s="8"/>
      <c r="M45" s="2">
        <v>17</v>
      </c>
      <c r="N45" s="2">
        <v>23</v>
      </c>
      <c r="O45" s="2">
        <v>38</v>
      </c>
      <c r="P45" s="8">
        <f t="shared" si="4"/>
        <v>12.75</v>
      </c>
      <c r="Q45" s="8">
        <f t="shared" si="4"/>
        <v>17.25</v>
      </c>
      <c r="R45" s="8">
        <f t="shared" si="4"/>
        <v>28.5</v>
      </c>
      <c r="S45" s="8">
        <v>20</v>
      </c>
      <c r="T45" s="8">
        <v>5</v>
      </c>
      <c r="U45" s="11">
        <f t="shared" si="2"/>
        <v>83.5</v>
      </c>
    </row>
    <row r="46" spans="1:21">
      <c r="A46">
        <v>43</v>
      </c>
      <c r="B46" t="s">
        <v>103</v>
      </c>
      <c r="C46" t="s">
        <v>104</v>
      </c>
      <c r="D46" s="2"/>
      <c r="E46" s="2">
        <v>18</v>
      </c>
      <c r="F46" s="2">
        <v>30</v>
      </c>
      <c r="G46" s="8">
        <f t="shared" si="3"/>
        <v>0</v>
      </c>
      <c r="H46" s="8">
        <f t="shared" si="3"/>
        <v>13.5</v>
      </c>
      <c r="I46" s="8">
        <f t="shared" si="3"/>
        <v>22.5</v>
      </c>
      <c r="J46" s="8">
        <f>VLOOKUP(C46,[1]Sheet1!$B$9:$H$77,7,FALSE)</f>
        <v>13</v>
      </c>
      <c r="K46" s="8"/>
      <c r="M46" s="2">
        <v>17</v>
      </c>
      <c r="N46" s="2">
        <v>18</v>
      </c>
      <c r="O46" s="2">
        <v>30</v>
      </c>
      <c r="P46" s="8">
        <f t="shared" si="4"/>
        <v>12.75</v>
      </c>
      <c r="Q46" s="8">
        <f t="shared" si="4"/>
        <v>13.5</v>
      </c>
      <c r="R46" s="8">
        <f t="shared" si="4"/>
        <v>22.5</v>
      </c>
      <c r="S46" s="8">
        <v>13</v>
      </c>
      <c r="T46" s="8">
        <v>5</v>
      </c>
      <c r="U46" s="11">
        <f t="shared" si="2"/>
        <v>66.75</v>
      </c>
    </row>
    <row r="47" spans="1:21">
      <c r="A47">
        <v>44</v>
      </c>
      <c r="B47" t="s">
        <v>105</v>
      </c>
      <c r="C47" t="s">
        <v>106</v>
      </c>
      <c r="D47" s="2"/>
      <c r="E47" s="2">
        <v>21</v>
      </c>
      <c r="F47" s="2">
        <v>50</v>
      </c>
      <c r="G47" s="8">
        <f t="shared" si="3"/>
        <v>0</v>
      </c>
      <c r="H47" s="8">
        <f t="shared" si="3"/>
        <v>15.75</v>
      </c>
      <c r="I47" s="8">
        <f t="shared" si="3"/>
        <v>37.5</v>
      </c>
      <c r="J47" s="8">
        <f>VLOOKUP(C47,[1]Sheet1!$B$9:$H$77,7,FALSE)</f>
        <v>15</v>
      </c>
      <c r="K47" s="8"/>
      <c r="M47" s="2">
        <v>20</v>
      </c>
      <c r="N47" s="2">
        <v>21</v>
      </c>
      <c r="O47" s="2">
        <v>50</v>
      </c>
      <c r="P47" s="8">
        <f t="shared" si="4"/>
        <v>15</v>
      </c>
      <c r="Q47" s="8">
        <f t="shared" si="4"/>
        <v>15.75</v>
      </c>
      <c r="R47" s="8">
        <f t="shared" si="4"/>
        <v>37.5</v>
      </c>
      <c r="S47" s="8">
        <v>15</v>
      </c>
      <c r="T47" s="8">
        <v>5</v>
      </c>
      <c r="U47" s="11">
        <f t="shared" si="2"/>
        <v>88.25</v>
      </c>
    </row>
    <row r="48" spans="1:21">
      <c r="A48">
        <v>45</v>
      </c>
      <c r="B48" t="s">
        <v>107</v>
      </c>
      <c r="C48" t="s">
        <v>108</v>
      </c>
      <c r="D48" s="2"/>
      <c r="E48" s="2">
        <v>18</v>
      </c>
      <c r="F48" s="2">
        <v>34</v>
      </c>
      <c r="G48" s="8">
        <f t="shared" si="3"/>
        <v>0</v>
      </c>
      <c r="H48" s="8">
        <f t="shared" si="3"/>
        <v>13.5</v>
      </c>
      <c r="I48" s="8">
        <f t="shared" si="3"/>
        <v>25.5</v>
      </c>
      <c r="J48" s="8">
        <f>VLOOKUP(C48,[1]Sheet1!$B$9:$H$77,7,FALSE)</f>
        <v>20</v>
      </c>
      <c r="K48" s="8"/>
      <c r="M48" s="2">
        <v>17</v>
      </c>
      <c r="N48" s="2">
        <v>18</v>
      </c>
      <c r="O48" s="2">
        <v>34</v>
      </c>
      <c r="P48" s="8">
        <f t="shared" si="4"/>
        <v>12.75</v>
      </c>
      <c r="Q48" s="8">
        <f t="shared" si="4"/>
        <v>13.5</v>
      </c>
      <c r="R48" s="8">
        <f t="shared" si="4"/>
        <v>25.5</v>
      </c>
      <c r="S48" s="8">
        <v>20</v>
      </c>
      <c r="T48" s="8">
        <v>5</v>
      </c>
      <c r="U48" s="11">
        <f t="shared" si="2"/>
        <v>76.75</v>
      </c>
    </row>
    <row r="49" spans="1:21">
      <c r="A49">
        <v>46</v>
      </c>
      <c r="B49" t="s">
        <v>109</v>
      </c>
      <c r="C49" t="s">
        <v>110</v>
      </c>
      <c r="D49" s="2"/>
      <c r="E49" s="2">
        <v>16</v>
      </c>
      <c r="F49" s="2">
        <v>26</v>
      </c>
      <c r="G49" s="8">
        <f t="shared" si="3"/>
        <v>0</v>
      </c>
      <c r="H49" s="8">
        <f t="shared" si="3"/>
        <v>12</v>
      </c>
      <c r="I49" s="8">
        <f t="shared" si="3"/>
        <v>19.5</v>
      </c>
      <c r="J49" s="8">
        <f>VLOOKUP(C49,[1]Sheet1!$B$9:$H$77,7,FALSE)</f>
        <v>14</v>
      </c>
      <c r="K49" s="8"/>
      <c r="M49" s="2">
        <v>17</v>
      </c>
      <c r="N49" s="2">
        <v>16</v>
      </c>
      <c r="O49" s="2">
        <v>26</v>
      </c>
      <c r="P49" s="8">
        <f t="shared" si="4"/>
        <v>12.75</v>
      </c>
      <c r="Q49" s="8">
        <f t="shared" si="4"/>
        <v>12</v>
      </c>
      <c r="R49" s="8">
        <f t="shared" si="4"/>
        <v>19.5</v>
      </c>
      <c r="S49" s="8">
        <v>14</v>
      </c>
      <c r="T49" s="8">
        <v>5</v>
      </c>
      <c r="U49" s="11">
        <f t="shared" si="2"/>
        <v>63.25</v>
      </c>
    </row>
    <row r="50" spans="1:21">
      <c r="A50">
        <v>47</v>
      </c>
      <c r="B50" t="s">
        <v>111</v>
      </c>
      <c r="C50" t="s">
        <v>112</v>
      </c>
      <c r="D50" s="2"/>
      <c r="E50" s="2">
        <v>21</v>
      </c>
      <c r="F50" s="2">
        <v>24</v>
      </c>
      <c r="G50" s="8">
        <f t="shared" si="3"/>
        <v>0</v>
      </c>
      <c r="H50" s="8">
        <f t="shared" si="3"/>
        <v>15.75</v>
      </c>
      <c r="I50" s="8">
        <f t="shared" si="3"/>
        <v>18</v>
      </c>
      <c r="J50" s="8">
        <f>VLOOKUP(C50,[1]Sheet1!$B$9:$H$77,7,FALSE)</f>
        <v>14</v>
      </c>
      <c r="K50" s="8"/>
      <c r="M50" s="2">
        <v>14</v>
      </c>
      <c r="N50" s="2">
        <v>21</v>
      </c>
      <c r="O50" s="2">
        <v>24</v>
      </c>
      <c r="P50" s="8">
        <f t="shared" si="4"/>
        <v>10.5</v>
      </c>
      <c r="Q50" s="8">
        <f t="shared" si="4"/>
        <v>15.75</v>
      </c>
      <c r="R50" s="8">
        <f t="shared" si="4"/>
        <v>18</v>
      </c>
      <c r="S50" s="8">
        <v>14</v>
      </c>
      <c r="T50" s="8">
        <v>5</v>
      </c>
      <c r="U50" s="11">
        <f t="shared" si="2"/>
        <v>63.25</v>
      </c>
    </row>
    <row r="51" spans="1:21">
      <c r="A51">
        <v>48</v>
      </c>
      <c r="B51" t="s">
        <v>113</v>
      </c>
      <c r="C51" t="s">
        <v>114</v>
      </c>
      <c r="D51" s="2"/>
      <c r="E51" s="2">
        <v>28</v>
      </c>
      <c r="F51" s="2">
        <v>46</v>
      </c>
      <c r="G51" s="8">
        <f t="shared" si="3"/>
        <v>0</v>
      </c>
      <c r="H51" s="8">
        <f t="shared" si="3"/>
        <v>21</v>
      </c>
      <c r="I51" s="8">
        <f t="shared" si="3"/>
        <v>34.5</v>
      </c>
      <c r="J51" s="8">
        <f>VLOOKUP(C51,[1]Sheet1!$B$9:$H$77,7,FALSE)</f>
        <v>13</v>
      </c>
      <c r="K51" s="8"/>
      <c r="M51" s="2">
        <v>20</v>
      </c>
      <c r="N51" s="2">
        <v>28</v>
      </c>
      <c r="O51" s="2">
        <v>46</v>
      </c>
      <c r="P51" s="8">
        <f t="shared" si="4"/>
        <v>15</v>
      </c>
      <c r="Q51" s="8">
        <f t="shared" si="4"/>
        <v>21</v>
      </c>
      <c r="R51" s="8">
        <f t="shared" si="4"/>
        <v>34.5</v>
      </c>
      <c r="S51" s="8">
        <v>13</v>
      </c>
      <c r="T51" s="8">
        <v>5</v>
      </c>
      <c r="U51" s="11">
        <f t="shared" si="2"/>
        <v>88.5</v>
      </c>
    </row>
    <row r="52" spans="1:21">
      <c r="A52">
        <v>49</v>
      </c>
      <c r="B52" t="s">
        <v>115</v>
      </c>
      <c r="C52" t="s">
        <v>116</v>
      </c>
      <c r="D52" s="2"/>
      <c r="E52" s="2">
        <v>17</v>
      </c>
      <c r="F52" s="2">
        <v>30</v>
      </c>
      <c r="G52" s="8">
        <f t="shared" si="3"/>
        <v>0</v>
      </c>
      <c r="H52" s="8">
        <f t="shared" si="3"/>
        <v>12.75</v>
      </c>
      <c r="I52" s="8">
        <f t="shared" si="3"/>
        <v>22.5</v>
      </c>
      <c r="J52" s="8">
        <f>VLOOKUP(C52,[1]Sheet1!$B$9:$H$77,7,FALSE)</f>
        <v>13</v>
      </c>
      <c r="K52" s="8"/>
      <c r="M52" s="2">
        <v>17</v>
      </c>
      <c r="N52" s="2">
        <v>17</v>
      </c>
      <c r="O52" s="2">
        <v>30</v>
      </c>
      <c r="P52" s="8">
        <f t="shared" si="4"/>
        <v>12.75</v>
      </c>
      <c r="Q52" s="8">
        <f t="shared" si="4"/>
        <v>12.75</v>
      </c>
      <c r="R52" s="8">
        <f t="shared" si="4"/>
        <v>22.5</v>
      </c>
      <c r="S52" s="8">
        <v>13</v>
      </c>
      <c r="T52" s="8">
        <v>5</v>
      </c>
      <c r="U52" s="11">
        <f t="shared" si="2"/>
        <v>66</v>
      </c>
    </row>
    <row r="53" spans="1:21">
      <c r="A53">
        <v>50</v>
      </c>
      <c r="B53" t="s">
        <v>117</v>
      </c>
      <c r="C53" t="s">
        <v>118</v>
      </c>
      <c r="D53" s="2"/>
      <c r="E53" s="2">
        <v>17</v>
      </c>
      <c r="F53" s="2">
        <v>29</v>
      </c>
      <c r="G53" s="8">
        <f t="shared" si="3"/>
        <v>0</v>
      </c>
      <c r="H53" s="8">
        <f t="shared" si="3"/>
        <v>12.75</v>
      </c>
      <c r="I53" s="8">
        <f t="shared" si="3"/>
        <v>21.75</v>
      </c>
      <c r="J53" s="8">
        <f>VLOOKUP(C53,[1]Sheet1!$B$9:$H$77,7,FALSE)</f>
        <v>14</v>
      </c>
      <c r="K53" s="8"/>
      <c r="M53" s="2">
        <v>17</v>
      </c>
      <c r="N53" s="2">
        <v>17</v>
      </c>
      <c r="O53" s="2">
        <v>29</v>
      </c>
      <c r="P53" s="8">
        <f t="shared" si="4"/>
        <v>12.75</v>
      </c>
      <c r="Q53" s="8">
        <f t="shared" si="4"/>
        <v>12.75</v>
      </c>
      <c r="R53" s="8">
        <f t="shared" si="4"/>
        <v>21.75</v>
      </c>
      <c r="S53" s="8">
        <v>14</v>
      </c>
      <c r="T53" s="8">
        <v>5</v>
      </c>
      <c r="U53" s="11">
        <f t="shared" si="2"/>
        <v>66.25</v>
      </c>
    </row>
    <row r="54" spans="1:21">
      <c r="A54">
        <v>51</v>
      </c>
      <c r="B54" t="s">
        <v>119</v>
      </c>
      <c r="C54" t="s">
        <v>120</v>
      </c>
      <c r="D54" s="2"/>
      <c r="E54" s="2">
        <v>20</v>
      </c>
      <c r="F54" s="2">
        <v>32</v>
      </c>
      <c r="G54" s="8">
        <f t="shared" si="3"/>
        <v>0</v>
      </c>
      <c r="H54" s="8">
        <f t="shared" si="3"/>
        <v>15</v>
      </c>
      <c r="I54" s="8">
        <f t="shared" si="3"/>
        <v>24</v>
      </c>
      <c r="J54" s="8">
        <f>VLOOKUP(C54,[1]Sheet1!$B$9:$H$77,7,FALSE)</f>
        <v>17</v>
      </c>
      <c r="K54" s="8"/>
      <c r="M54" s="2">
        <v>14</v>
      </c>
      <c r="N54" s="2">
        <v>20</v>
      </c>
      <c r="O54" s="2">
        <v>32</v>
      </c>
      <c r="P54" s="8">
        <f t="shared" si="4"/>
        <v>10.5</v>
      </c>
      <c r="Q54" s="8">
        <f t="shared" si="4"/>
        <v>15</v>
      </c>
      <c r="R54" s="8">
        <f t="shared" si="4"/>
        <v>24</v>
      </c>
      <c r="S54" s="8">
        <v>17</v>
      </c>
      <c r="T54" s="8">
        <v>5</v>
      </c>
      <c r="U54" s="11">
        <f t="shared" si="2"/>
        <v>71.5</v>
      </c>
    </row>
    <row r="55" spans="1:21">
      <c r="A55">
        <v>52</v>
      </c>
      <c r="B55" t="s">
        <v>121</v>
      </c>
      <c r="C55" t="s">
        <v>122</v>
      </c>
      <c r="D55" s="2"/>
      <c r="E55" s="2">
        <v>20</v>
      </c>
      <c r="F55" s="2">
        <v>37</v>
      </c>
      <c r="G55" s="8">
        <f t="shared" si="3"/>
        <v>0</v>
      </c>
      <c r="H55" s="8">
        <f t="shared" si="3"/>
        <v>15</v>
      </c>
      <c r="I55" s="8">
        <f t="shared" si="3"/>
        <v>27.75</v>
      </c>
      <c r="J55" s="8">
        <f>VLOOKUP(C55,[1]Sheet1!$B$9:$H$77,7,FALSE)</f>
        <v>13</v>
      </c>
      <c r="K55" s="8"/>
      <c r="M55" s="2">
        <v>17</v>
      </c>
      <c r="N55" s="2">
        <v>20</v>
      </c>
      <c r="O55" s="2">
        <v>37</v>
      </c>
      <c r="P55" s="8">
        <f t="shared" si="4"/>
        <v>12.75</v>
      </c>
      <c r="Q55" s="8">
        <f t="shared" si="4"/>
        <v>15</v>
      </c>
      <c r="R55" s="8">
        <f t="shared" si="4"/>
        <v>27.75</v>
      </c>
      <c r="S55" s="8">
        <v>13</v>
      </c>
      <c r="T55" s="8">
        <v>5</v>
      </c>
      <c r="U55" s="11">
        <f t="shared" si="2"/>
        <v>73.5</v>
      </c>
    </row>
    <row r="56" spans="1:21">
      <c r="A56">
        <v>53</v>
      </c>
      <c r="B56" t="s">
        <v>123</v>
      </c>
      <c r="C56" t="s">
        <v>124</v>
      </c>
      <c r="D56" s="2"/>
      <c r="E56" s="2">
        <v>27</v>
      </c>
      <c r="F56" s="2">
        <v>45</v>
      </c>
      <c r="G56" s="8">
        <f t="shared" si="3"/>
        <v>0</v>
      </c>
      <c r="H56" s="8">
        <f t="shared" si="3"/>
        <v>20.25</v>
      </c>
      <c r="I56" s="8">
        <f t="shared" si="3"/>
        <v>33.75</v>
      </c>
      <c r="J56" s="8">
        <f>VLOOKUP(C56,[1]Sheet1!$B$9:$H$77,7,FALSE)</f>
        <v>20</v>
      </c>
      <c r="K56" s="8"/>
      <c r="M56" s="2">
        <v>17</v>
      </c>
      <c r="N56" s="2">
        <v>27</v>
      </c>
      <c r="O56" s="2">
        <v>45</v>
      </c>
      <c r="P56" s="8">
        <f t="shared" si="4"/>
        <v>12.75</v>
      </c>
      <c r="Q56" s="8">
        <f t="shared" si="4"/>
        <v>20.25</v>
      </c>
      <c r="R56" s="8">
        <f t="shared" si="4"/>
        <v>33.75</v>
      </c>
      <c r="S56" s="8">
        <v>20</v>
      </c>
      <c r="T56" s="8">
        <v>5</v>
      </c>
      <c r="U56" s="11">
        <f t="shared" si="2"/>
        <v>91.75</v>
      </c>
    </row>
    <row r="57" spans="1:21">
      <c r="A57">
        <v>54</v>
      </c>
      <c r="B57" t="s">
        <v>125</v>
      </c>
      <c r="C57" t="s">
        <v>126</v>
      </c>
      <c r="D57" s="2"/>
      <c r="E57" s="2">
        <v>17</v>
      </c>
      <c r="F57" s="2">
        <v>24</v>
      </c>
      <c r="G57" s="8">
        <f t="shared" si="3"/>
        <v>0</v>
      </c>
      <c r="H57" s="8">
        <f t="shared" si="3"/>
        <v>12.75</v>
      </c>
      <c r="I57" s="8">
        <f t="shared" si="3"/>
        <v>18</v>
      </c>
      <c r="J57" s="8">
        <f>VLOOKUP(C57,[1]Sheet1!$B$9:$H$77,7,FALSE)</f>
        <v>16</v>
      </c>
      <c r="K57" s="8"/>
      <c r="M57" s="2">
        <v>17</v>
      </c>
      <c r="N57" s="2">
        <v>17</v>
      </c>
      <c r="O57" s="2">
        <v>24</v>
      </c>
      <c r="P57" s="8">
        <f t="shared" si="4"/>
        <v>12.75</v>
      </c>
      <c r="Q57" s="8">
        <f t="shared" si="4"/>
        <v>12.75</v>
      </c>
      <c r="R57" s="8">
        <f t="shared" si="4"/>
        <v>18</v>
      </c>
      <c r="S57" s="8">
        <v>16</v>
      </c>
      <c r="T57" s="8">
        <v>5</v>
      </c>
      <c r="U57" s="11">
        <f t="shared" si="2"/>
        <v>64.5</v>
      </c>
    </row>
    <row r="58" spans="1:21">
      <c r="A58">
        <v>55</v>
      </c>
      <c r="B58" t="s">
        <v>127</v>
      </c>
      <c r="C58" t="s">
        <v>128</v>
      </c>
      <c r="D58" s="2"/>
      <c r="E58" s="2">
        <v>19</v>
      </c>
      <c r="F58" s="2">
        <v>33</v>
      </c>
      <c r="G58" s="8">
        <f t="shared" si="3"/>
        <v>0</v>
      </c>
      <c r="H58" s="8">
        <f t="shared" si="3"/>
        <v>14.25</v>
      </c>
      <c r="I58" s="8">
        <f t="shared" si="3"/>
        <v>24.75</v>
      </c>
      <c r="J58" s="8">
        <f>VLOOKUP(C58,[1]Sheet1!$B$9:$H$77,7,FALSE)</f>
        <v>14</v>
      </c>
      <c r="K58" s="8"/>
      <c r="M58" s="2">
        <v>14</v>
      </c>
      <c r="N58" s="2">
        <v>19</v>
      </c>
      <c r="O58" s="2">
        <v>33</v>
      </c>
      <c r="P58" s="8">
        <f t="shared" si="4"/>
        <v>10.5</v>
      </c>
      <c r="Q58" s="8">
        <f t="shared" si="4"/>
        <v>14.25</v>
      </c>
      <c r="R58" s="8">
        <f t="shared" si="4"/>
        <v>24.75</v>
      </c>
      <c r="S58" s="8">
        <v>14</v>
      </c>
      <c r="T58" s="8">
        <v>5</v>
      </c>
      <c r="U58" s="11">
        <f t="shared" si="2"/>
        <v>68.5</v>
      </c>
    </row>
    <row r="59" spans="1:21">
      <c r="A59">
        <v>56</v>
      </c>
      <c r="B59" t="s">
        <v>129</v>
      </c>
      <c r="C59" t="s">
        <v>130</v>
      </c>
      <c r="D59" s="2"/>
      <c r="E59" s="2">
        <v>22</v>
      </c>
      <c r="F59" s="2">
        <v>24</v>
      </c>
      <c r="G59" s="8">
        <f t="shared" si="3"/>
        <v>0</v>
      </c>
      <c r="H59" s="8">
        <f t="shared" si="3"/>
        <v>16.5</v>
      </c>
      <c r="I59" s="8">
        <f t="shared" si="3"/>
        <v>18</v>
      </c>
      <c r="J59" s="8">
        <f>VLOOKUP(C59,[1]Sheet1!$B$9:$H$77,7,FALSE)</f>
        <v>13</v>
      </c>
      <c r="K59" s="8"/>
      <c r="M59" s="2">
        <v>17</v>
      </c>
      <c r="N59" s="2">
        <v>22</v>
      </c>
      <c r="O59" s="2">
        <v>24</v>
      </c>
      <c r="P59" s="8">
        <f t="shared" si="4"/>
        <v>12.75</v>
      </c>
      <c r="Q59" s="8">
        <f t="shared" si="4"/>
        <v>16.5</v>
      </c>
      <c r="R59" s="8">
        <f t="shared" si="4"/>
        <v>18</v>
      </c>
      <c r="S59" s="8">
        <v>13</v>
      </c>
      <c r="T59" s="8">
        <v>5</v>
      </c>
      <c r="U59" s="11">
        <f t="shared" si="2"/>
        <v>65.25</v>
      </c>
    </row>
    <row r="60" spans="1:21">
      <c r="A60">
        <v>57</v>
      </c>
      <c r="B60" t="s">
        <v>131</v>
      </c>
      <c r="C60" t="s">
        <v>132</v>
      </c>
      <c r="D60" s="2"/>
      <c r="E60" s="2"/>
      <c r="F60" s="2"/>
      <c r="G60" s="8">
        <f t="shared" si="3"/>
        <v>0</v>
      </c>
      <c r="H60" s="8">
        <f t="shared" si="3"/>
        <v>0</v>
      </c>
      <c r="I60" s="8">
        <f t="shared" si="3"/>
        <v>0</v>
      </c>
      <c r="J60" s="8">
        <v>0</v>
      </c>
      <c r="K60" s="8"/>
      <c r="M60" s="2">
        <v>0</v>
      </c>
      <c r="N60" s="2">
        <v>0</v>
      </c>
      <c r="O60" s="2">
        <v>0</v>
      </c>
      <c r="P60" s="8">
        <f t="shared" si="4"/>
        <v>0</v>
      </c>
      <c r="Q60" s="8">
        <f t="shared" si="4"/>
        <v>0</v>
      </c>
      <c r="R60" s="8">
        <f t="shared" si="4"/>
        <v>0</v>
      </c>
      <c r="S60" s="8">
        <v>0</v>
      </c>
      <c r="T60" s="8">
        <v>0</v>
      </c>
      <c r="U60" s="11">
        <f t="shared" si="2"/>
        <v>0</v>
      </c>
    </row>
    <row r="61" spans="1:21">
      <c r="A61">
        <v>58</v>
      </c>
      <c r="B61" t="s">
        <v>133</v>
      </c>
      <c r="C61" t="s">
        <v>134</v>
      </c>
      <c r="D61" s="2"/>
      <c r="E61" s="2">
        <v>22</v>
      </c>
      <c r="F61" s="2">
        <v>15</v>
      </c>
      <c r="G61" s="8">
        <f t="shared" si="3"/>
        <v>0</v>
      </c>
      <c r="H61" s="8">
        <f t="shared" si="3"/>
        <v>16.5</v>
      </c>
      <c r="I61" s="8">
        <f t="shared" si="3"/>
        <v>11.25</v>
      </c>
      <c r="J61" s="8">
        <f>VLOOKUP(C61,[1]Sheet1!$B$9:$H$77,7,FALSE)</f>
        <v>13</v>
      </c>
      <c r="K61" s="8"/>
      <c r="M61" s="2">
        <v>14</v>
      </c>
      <c r="N61" s="2">
        <v>22</v>
      </c>
      <c r="O61" s="2">
        <v>15</v>
      </c>
      <c r="P61" s="8">
        <f t="shared" si="4"/>
        <v>10.5</v>
      </c>
      <c r="Q61" s="8">
        <f t="shared" si="4"/>
        <v>16.5</v>
      </c>
      <c r="R61" s="8">
        <f t="shared" si="4"/>
        <v>11.25</v>
      </c>
      <c r="S61" s="8">
        <v>13</v>
      </c>
      <c r="T61" s="8">
        <v>5</v>
      </c>
      <c r="U61" s="11">
        <f>SUM(P61:T61)</f>
        <v>56.25</v>
      </c>
    </row>
    <row r="62" spans="1:21">
      <c r="A62">
        <v>59</v>
      </c>
      <c r="B62" t="s">
        <v>135</v>
      </c>
      <c r="C62" t="s">
        <v>136</v>
      </c>
      <c r="D62" s="2"/>
      <c r="E62" s="2">
        <v>19</v>
      </c>
      <c r="F62" s="2">
        <v>33</v>
      </c>
      <c r="G62" s="8">
        <f t="shared" si="3"/>
        <v>0</v>
      </c>
      <c r="H62" s="8">
        <f t="shared" si="3"/>
        <v>14.25</v>
      </c>
      <c r="I62" s="8">
        <f t="shared" si="3"/>
        <v>24.75</v>
      </c>
      <c r="J62" s="8">
        <f>VLOOKUP(C62,[1]Sheet1!$B$9:$H$77,7,FALSE)</f>
        <v>13</v>
      </c>
      <c r="K62" s="8"/>
      <c r="M62" s="2">
        <v>14</v>
      </c>
      <c r="N62" s="2">
        <v>19</v>
      </c>
      <c r="O62" s="2">
        <v>33</v>
      </c>
      <c r="P62" s="8">
        <f t="shared" si="4"/>
        <v>10.5</v>
      </c>
      <c r="Q62" s="8">
        <f t="shared" si="4"/>
        <v>14.25</v>
      </c>
      <c r="R62" s="8">
        <f t="shared" si="4"/>
        <v>24.75</v>
      </c>
      <c r="S62" s="8">
        <v>13</v>
      </c>
      <c r="T62" s="8">
        <v>5</v>
      </c>
      <c r="U62" s="11">
        <f t="shared" ref="U62:U76" si="5">SUM(P62:T62)</f>
        <v>67.5</v>
      </c>
    </row>
    <row r="63" spans="1:21">
      <c r="A63">
        <v>60</v>
      </c>
      <c r="B63" t="s">
        <v>137</v>
      </c>
      <c r="C63" t="s">
        <v>138</v>
      </c>
      <c r="D63" s="2"/>
      <c r="E63" s="2">
        <v>21</v>
      </c>
      <c r="F63" s="2">
        <v>35</v>
      </c>
      <c r="G63" s="8">
        <f t="shared" si="3"/>
        <v>0</v>
      </c>
      <c r="H63" s="8">
        <f t="shared" si="3"/>
        <v>15.75</v>
      </c>
      <c r="I63" s="8">
        <f t="shared" si="3"/>
        <v>26.25</v>
      </c>
      <c r="J63" s="8">
        <f>VLOOKUP(C63,[1]Sheet1!$B$9:$H$77,7,FALSE)</f>
        <v>13</v>
      </c>
      <c r="K63" s="8"/>
      <c r="M63" s="2">
        <v>14</v>
      </c>
      <c r="N63" s="2">
        <v>21</v>
      </c>
      <c r="O63" s="2">
        <v>35</v>
      </c>
      <c r="P63" s="8">
        <f t="shared" si="4"/>
        <v>10.5</v>
      </c>
      <c r="Q63" s="8">
        <f t="shared" si="4"/>
        <v>15.75</v>
      </c>
      <c r="R63" s="8">
        <f t="shared" si="4"/>
        <v>26.25</v>
      </c>
      <c r="S63" s="8">
        <v>13</v>
      </c>
      <c r="T63" s="8">
        <v>5</v>
      </c>
      <c r="U63" s="11">
        <f t="shared" si="5"/>
        <v>70.5</v>
      </c>
    </row>
    <row r="64" spans="1:21">
      <c r="A64">
        <v>61</v>
      </c>
      <c r="B64" t="s">
        <v>139</v>
      </c>
      <c r="C64" t="s">
        <v>140</v>
      </c>
      <c r="D64" s="2"/>
      <c r="E64" s="2">
        <v>20</v>
      </c>
      <c r="F64" s="2">
        <v>27</v>
      </c>
      <c r="G64" s="8">
        <f t="shared" si="3"/>
        <v>0</v>
      </c>
      <c r="H64" s="8">
        <f t="shared" si="3"/>
        <v>15</v>
      </c>
      <c r="I64" s="8">
        <f t="shared" si="3"/>
        <v>20.25</v>
      </c>
      <c r="J64" s="8">
        <f>VLOOKUP(C64,[1]Sheet1!$B$9:$H$77,7,FALSE)</f>
        <v>18</v>
      </c>
      <c r="K64" s="8"/>
      <c r="M64" s="2">
        <v>17</v>
      </c>
      <c r="N64" s="2">
        <v>20</v>
      </c>
      <c r="O64" s="2">
        <v>27</v>
      </c>
      <c r="P64" s="8">
        <f t="shared" si="4"/>
        <v>12.75</v>
      </c>
      <c r="Q64" s="8">
        <f t="shared" si="4"/>
        <v>15</v>
      </c>
      <c r="R64" s="8">
        <f t="shared" si="4"/>
        <v>20.25</v>
      </c>
      <c r="S64" s="8">
        <v>18</v>
      </c>
      <c r="T64" s="8">
        <v>5</v>
      </c>
      <c r="U64" s="11">
        <f t="shared" si="5"/>
        <v>71</v>
      </c>
    </row>
    <row r="65" spans="1:21">
      <c r="A65">
        <v>62</v>
      </c>
      <c r="B65" t="s">
        <v>141</v>
      </c>
      <c r="C65" t="s">
        <v>142</v>
      </c>
      <c r="D65" s="2"/>
      <c r="E65" s="2">
        <v>25</v>
      </c>
      <c r="F65" s="2">
        <v>27.5</v>
      </c>
      <c r="G65" s="8">
        <v>15</v>
      </c>
      <c r="H65" s="8">
        <f t="shared" si="3"/>
        <v>18.75</v>
      </c>
      <c r="I65" s="8">
        <f t="shared" si="3"/>
        <v>20.625</v>
      </c>
      <c r="J65" s="8">
        <f>VLOOKUP(C65,[1]Sheet1!$B$9:$H$77,7,FALSE)</f>
        <v>13</v>
      </c>
      <c r="K65" s="8">
        <v>3</v>
      </c>
      <c r="L65" s="11">
        <f>SUM(G65:K65)</f>
        <v>70.375</v>
      </c>
      <c r="M65" s="2">
        <v>14</v>
      </c>
      <c r="N65" s="2">
        <v>25</v>
      </c>
      <c r="O65" s="2">
        <v>27.5</v>
      </c>
      <c r="P65" s="8">
        <f t="shared" si="4"/>
        <v>10.5</v>
      </c>
      <c r="Q65" s="8">
        <f t="shared" si="4"/>
        <v>18.75</v>
      </c>
      <c r="R65" s="8">
        <f t="shared" si="4"/>
        <v>20.625</v>
      </c>
      <c r="S65" s="8">
        <v>13</v>
      </c>
      <c r="T65" s="8">
        <v>5</v>
      </c>
      <c r="U65" s="11">
        <f t="shared" si="5"/>
        <v>67.875</v>
      </c>
    </row>
    <row r="66" spans="1:21">
      <c r="A66">
        <v>63</v>
      </c>
      <c r="B66" t="s">
        <v>143</v>
      </c>
      <c r="C66" t="s">
        <v>144</v>
      </c>
      <c r="D66" s="2"/>
      <c r="E66" s="2">
        <v>4</v>
      </c>
      <c r="F66" s="2">
        <v>18</v>
      </c>
      <c r="G66" s="8">
        <f t="shared" si="3"/>
        <v>0</v>
      </c>
      <c r="H66" s="8">
        <f t="shared" si="3"/>
        <v>3</v>
      </c>
      <c r="I66" s="8">
        <f t="shared" si="3"/>
        <v>13.5</v>
      </c>
      <c r="J66" s="8">
        <f>VLOOKUP(C66,[1]Sheet1!$B$9:$H$77,7,FALSE)</f>
        <v>13</v>
      </c>
      <c r="K66" s="8"/>
      <c r="M66" s="2">
        <v>16</v>
      </c>
      <c r="N66" s="2">
        <v>4</v>
      </c>
      <c r="O66" s="2">
        <v>18</v>
      </c>
      <c r="P66" s="8">
        <f t="shared" si="4"/>
        <v>12</v>
      </c>
      <c r="Q66" s="8">
        <f t="shared" si="4"/>
        <v>3</v>
      </c>
      <c r="R66" s="8">
        <f t="shared" si="4"/>
        <v>13.5</v>
      </c>
      <c r="S66" s="8">
        <v>16.5</v>
      </c>
      <c r="T66" s="8">
        <v>5</v>
      </c>
      <c r="U66" s="11">
        <f t="shared" si="5"/>
        <v>50</v>
      </c>
    </row>
    <row r="67" spans="1:21">
      <c r="A67">
        <v>64</v>
      </c>
      <c r="B67" t="s">
        <v>145</v>
      </c>
      <c r="C67" t="s">
        <v>146</v>
      </c>
      <c r="D67" s="2"/>
      <c r="E67" s="2">
        <v>17</v>
      </c>
      <c r="F67" s="2">
        <v>22</v>
      </c>
      <c r="G67" s="8">
        <f t="shared" si="3"/>
        <v>0</v>
      </c>
      <c r="H67" s="8">
        <f t="shared" si="3"/>
        <v>12.75</v>
      </c>
      <c r="I67" s="8">
        <f t="shared" si="3"/>
        <v>16.5</v>
      </c>
      <c r="J67" s="8" t="e">
        <f>VLOOKUP(C67,[1]Sheet1!$B$9:$H$77,7,FALSE)</f>
        <v>#N/A</v>
      </c>
      <c r="K67" s="8"/>
      <c r="M67" s="2">
        <v>15</v>
      </c>
      <c r="N67" s="2">
        <v>17</v>
      </c>
      <c r="O67" s="2">
        <v>22</v>
      </c>
      <c r="P67" s="8">
        <f t="shared" si="4"/>
        <v>11.25</v>
      </c>
      <c r="Q67" s="8">
        <f t="shared" si="4"/>
        <v>12.75</v>
      </c>
      <c r="R67" s="8">
        <f t="shared" si="4"/>
        <v>16.5</v>
      </c>
      <c r="S67" s="8">
        <v>13</v>
      </c>
      <c r="T67" s="8">
        <v>5</v>
      </c>
      <c r="U67" s="11">
        <f t="shared" si="5"/>
        <v>58.5</v>
      </c>
    </row>
    <row r="68" spans="1:21">
      <c r="A68">
        <v>65</v>
      </c>
      <c r="B68" t="s">
        <v>147</v>
      </c>
      <c r="C68" t="s">
        <v>148</v>
      </c>
      <c r="D68" s="2"/>
      <c r="E68" s="2">
        <v>11</v>
      </c>
      <c r="F68" s="2">
        <v>22</v>
      </c>
      <c r="G68" s="8">
        <f t="shared" si="3"/>
        <v>0</v>
      </c>
      <c r="H68" s="8">
        <f t="shared" si="3"/>
        <v>8.25</v>
      </c>
      <c r="I68" s="8">
        <f t="shared" si="3"/>
        <v>16.5</v>
      </c>
      <c r="J68" s="8" t="e">
        <f>VLOOKUP(C68,[1]Sheet1!$B$9:$H$77,7,FALSE)</f>
        <v>#N/A</v>
      </c>
      <c r="K68" s="8"/>
      <c r="M68" s="2">
        <v>17</v>
      </c>
      <c r="N68" s="2">
        <v>11</v>
      </c>
      <c r="O68" s="2">
        <v>22</v>
      </c>
      <c r="P68" s="8">
        <f t="shared" si="4"/>
        <v>12.75</v>
      </c>
      <c r="Q68" s="8">
        <f t="shared" si="4"/>
        <v>8.25</v>
      </c>
      <c r="R68" s="8">
        <f t="shared" si="4"/>
        <v>16.5</v>
      </c>
      <c r="S68" s="8">
        <v>10</v>
      </c>
      <c r="T68" s="8">
        <v>5</v>
      </c>
      <c r="U68" s="11">
        <f t="shared" si="5"/>
        <v>52.5</v>
      </c>
    </row>
    <row r="69" spans="1:21">
      <c r="A69">
        <v>66</v>
      </c>
      <c r="B69" t="s">
        <v>149</v>
      </c>
      <c r="C69" t="s">
        <v>150</v>
      </c>
      <c r="D69" s="2"/>
      <c r="E69" s="2">
        <v>15</v>
      </c>
      <c r="F69" s="2">
        <v>26</v>
      </c>
      <c r="G69" s="8">
        <f t="shared" si="3"/>
        <v>0</v>
      </c>
      <c r="H69" s="8">
        <f t="shared" si="3"/>
        <v>11.25</v>
      </c>
      <c r="I69" s="8">
        <f t="shared" si="3"/>
        <v>19.5</v>
      </c>
      <c r="J69" s="8" t="e">
        <f>VLOOKUP(C69,[1]Sheet1!$B$9:$H$77,7,FALSE)</f>
        <v>#N/A</v>
      </c>
      <c r="K69" s="8"/>
      <c r="M69" s="2">
        <v>15</v>
      </c>
      <c r="N69" s="2">
        <v>15</v>
      </c>
      <c r="O69" s="2">
        <v>26</v>
      </c>
      <c r="P69" s="8">
        <f t="shared" si="4"/>
        <v>11.25</v>
      </c>
      <c r="Q69" s="8">
        <f t="shared" si="4"/>
        <v>11.25</v>
      </c>
      <c r="R69" s="8">
        <f t="shared" si="4"/>
        <v>19.5</v>
      </c>
      <c r="S69" s="8">
        <v>13</v>
      </c>
      <c r="T69" s="8">
        <v>5</v>
      </c>
      <c r="U69" s="11">
        <f t="shared" si="5"/>
        <v>60</v>
      </c>
    </row>
    <row r="70" spans="1:21">
      <c r="A70">
        <v>67</v>
      </c>
      <c r="B70" t="s">
        <v>151</v>
      </c>
      <c r="C70" t="s">
        <v>152</v>
      </c>
      <c r="D70" s="2"/>
      <c r="E70" s="2">
        <v>14</v>
      </c>
      <c r="F70" s="2">
        <v>25</v>
      </c>
      <c r="G70" s="8">
        <f t="shared" si="3"/>
        <v>0</v>
      </c>
      <c r="H70" s="8">
        <f t="shared" si="3"/>
        <v>10.5</v>
      </c>
      <c r="I70" s="8">
        <f t="shared" si="3"/>
        <v>18.75</v>
      </c>
      <c r="J70" s="8" t="e">
        <f>VLOOKUP(C70,[1]Sheet1!$B$9:$H$77,7,FALSE)</f>
        <v>#N/A</v>
      </c>
      <c r="K70" s="8"/>
      <c r="M70" s="2">
        <v>15</v>
      </c>
      <c r="N70" s="2">
        <v>14</v>
      </c>
      <c r="O70" s="2">
        <v>25</v>
      </c>
      <c r="P70" s="8">
        <f t="shared" si="4"/>
        <v>11.25</v>
      </c>
      <c r="Q70" s="8">
        <f t="shared" si="4"/>
        <v>10.5</v>
      </c>
      <c r="R70" s="8">
        <f t="shared" si="4"/>
        <v>18.75</v>
      </c>
      <c r="S70" s="8">
        <v>13</v>
      </c>
      <c r="T70" s="8">
        <v>5</v>
      </c>
      <c r="U70" s="11">
        <f t="shared" si="5"/>
        <v>58.5</v>
      </c>
    </row>
    <row r="71" spans="1:21">
      <c r="A71">
        <v>68</v>
      </c>
      <c r="B71" t="s">
        <v>153</v>
      </c>
      <c r="C71" t="s">
        <v>154</v>
      </c>
      <c r="D71" s="2"/>
      <c r="E71" s="2">
        <v>13</v>
      </c>
      <c r="F71" s="2">
        <v>26</v>
      </c>
      <c r="G71" s="8">
        <f t="shared" si="3"/>
        <v>0</v>
      </c>
      <c r="H71" s="8">
        <f t="shared" si="3"/>
        <v>9.75</v>
      </c>
      <c r="I71" s="8">
        <f t="shared" si="3"/>
        <v>19.5</v>
      </c>
      <c r="J71" s="8">
        <f>VLOOKUP(C71,[1]Sheet1!$B$9:$H$77,7,FALSE)</f>
        <v>13</v>
      </c>
      <c r="K71" s="8"/>
      <c r="M71" s="2">
        <v>15</v>
      </c>
      <c r="N71" s="2">
        <v>13</v>
      </c>
      <c r="O71" s="2">
        <v>26</v>
      </c>
      <c r="P71" s="8">
        <f t="shared" si="4"/>
        <v>11.25</v>
      </c>
      <c r="Q71" s="8">
        <f t="shared" si="4"/>
        <v>9.75</v>
      </c>
      <c r="R71" s="8">
        <f t="shared" si="4"/>
        <v>19.5</v>
      </c>
      <c r="S71" s="8">
        <v>13</v>
      </c>
      <c r="T71" s="8">
        <v>5</v>
      </c>
      <c r="U71" s="11">
        <f t="shared" si="5"/>
        <v>58.5</v>
      </c>
    </row>
    <row r="72" spans="1:21">
      <c r="A72">
        <v>69</v>
      </c>
      <c r="B72" t="s">
        <v>155</v>
      </c>
      <c r="C72" t="s">
        <v>156</v>
      </c>
      <c r="D72" s="2"/>
      <c r="E72" s="2">
        <v>2</v>
      </c>
      <c r="F72" s="2">
        <v>8</v>
      </c>
      <c r="G72" s="8">
        <f t="shared" si="3"/>
        <v>0</v>
      </c>
      <c r="H72" s="8">
        <f t="shared" si="3"/>
        <v>1.5</v>
      </c>
      <c r="I72" s="8">
        <f t="shared" si="3"/>
        <v>6</v>
      </c>
      <c r="J72" s="8" t="e">
        <f>VLOOKUP(C72,[1]Sheet1!$B$9:$H$77,7,FALSE)</f>
        <v>#N/A</v>
      </c>
      <c r="K72" s="8"/>
      <c r="M72" s="2">
        <v>15</v>
      </c>
      <c r="N72" s="2">
        <v>2</v>
      </c>
      <c r="O72" s="2">
        <v>8</v>
      </c>
      <c r="P72" s="8">
        <f t="shared" si="4"/>
        <v>11.25</v>
      </c>
      <c r="Q72" s="8">
        <f t="shared" si="4"/>
        <v>1.5</v>
      </c>
      <c r="R72" s="8">
        <f t="shared" si="4"/>
        <v>6</v>
      </c>
      <c r="S72" s="8">
        <v>13</v>
      </c>
      <c r="T72" s="8">
        <v>5</v>
      </c>
      <c r="U72" s="11">
        <f t="shared" si="5"/>
        <v>36.75</v>
      </c>
    </row>
    <row r="73" spans="1:21">
      <c r="A73">
        <v>70</v>
      </c>
      <c r="B73" t="s">
        <v>157</v>
      </c>
      <c r="C73" t="s">
        <v>158</v>
      </c>
      <c r="D73" s="2"/>
      <c r="E73" s="9">
        <v>19</v>
      </c>
      <c r="F73" s="2">
        <v>36</v>
      </c>
      <c r="G73" s="8">
        <v>0</v>
      </c>
      <c r="H73" s="10">
        <f t="shared" ref="H73" si="6">E73*0.75</f>
        <v>14.25</v>
      </c>
      <c r="I73" s="8">
        <f t="shared" si="3"/>
        <v>27</v>
      </c>
      <c r="J73" s="8" t="e">
        <f>VLOOKUP(C73,[1]Sheet1!$B$9:$H$77,7,FALSE)</f>
        <v>#N/A</v>
      </c>
      <c r="K73" s="8"/>
      <c r="M73" s="2">
        <v>15</v>
      </c>
      <c r="N73" s="2">
        <v>19</v>
      </c>
      <c r="O73" s="2">
        <v>36</v>
      </c>
      <c r="P73" s="8">
        <f t="shared" si="4"/>
        <v>11.25</v>
      </c>
      <c r="Q73" s="8">
        <f t="shared" si="4"/>
        <v>14.25</v>
      </c>
      <c r="R73" s="8">
        <f t="shared" si="4"/>
        <v>27</v>
      </c>
      <c r="S73" s="8">
        <v>13</v>
      </c>
      <c r="T73" s="8">
        <v>5</v>
      </c>
      <c r="U73" s="11">
        <f t="shared" si="5"/>
        <v>70.5</v>
      </c>
    </row>
    <row r="74" spans="1:21">
      <c r="A74">
        <v>71</v>
      </c>
      <c r="B74" t="s">
        <v>159</v>
      </c>
      <c r="C74" t="s">
        <v>160</v>
      </c>
      <c r="D74" s="2"/>
      <c r="E74" s="2">
        <v>14</v>
      </c>
      <c r="F74" s="2">
        <v>17</v>
      </c>
      <c r="G74" s="8">
        <v>0</v>
      </c>
      <c r="H74" s="10">
        <v>10.5</v>
      </c>
      <c r="I74" s="8">
        <v>12.75</v>
      </c>
      <c r="J74" s="8"/>
      <c r="K74" s="8"/>
      <c r="M74" s="2">
        <v>15</v>
      </c>
      <c r="N74" s="2">
        <v>14</v>
      </c>
      <c r="O74" s="2">
        <v>17</v>
      </c>
      <c r="P74" s="8">
        <f t="shared" si="4"/>
        <v>11.25</v>
      </c>
      <c r="Q74" s="8">
        <f t="shared" si="4"/>
        <v>10.5</v>
      </c>
      <c r="R74" s="8">
        <f t="shared" si="4"/>
        <v>12.75</v>
      </c>
      <c r="S74" s="8">
        <v>13</v>
      </c>
      <c r="T74" s="8">
        <v>5</v>
      </c>
      <c r="U74" s="11">
        <f t="shared" si="5"/>
        <v>52.5</v>
      </c>
    </row>
    <row r="75" spans="1:21">
      <c r="A75">
        <v>72</v>
      </c>
      <c r="B75" t="s">
        <v>161</v>
      </c>
      <c r="C75" t="s">
        <v>162</v>
      </c>
      <c r="D75" s="2"/>
      <c r="E75" s="2">
        <v>18</v>
      </c>
      <c r="F75" s="2">
        <v>21</v>
      </c>
      <c r="G75" s="8">
        <v>0</v>
      </c>
      <c r="H75" s="10">
        <v>13.5</v>
      </c>
      <c r="I75" s="8">
        <v>15.75</v>
      </c>
      <c r="J75" s="8"/>
      <c r="K75" s="8"/>
      <c r="M75" s="2">
        <v>15</v>
      </c>
      <c r="N75" s="2">
        <v>18</v>
      </c>
      <c r="O75" s="2">
        <v>21</v>
      </c>
      <c r="P75" s="8">
        <f t="shared" si="4"/>
        <v>11.25</v>
      </c>
      <c r="Q75" s="8">
        <f t="shared" si="4"/>
        <v>13.5</v>
      </c>
      <c r="R75" s="8">
        <f t="shared" si="4"/>
        <v>15.75</v>
      </c>
      <c r="S75" s="8">
        <v>13</v>
      </c>
      <c r="T75" s="8">
        <v>5</v>
      </c>
      <c r="U75" s="11">
        <f t="shared" si="5"/>
        <v>58.5</v>
      </c>
    </row>
    <row r="76" spans="1:21">
      <c r="A76">
        <v>73</v>
      </c>
      <c r="B76" t="s">
        <v>163</v>
      </c>
      <c r="C76" t="s">
        <v>164</v>
      </c>
      <c r="D76" s="2"/>
      <c r="E76" s="2">
        <v>19.5</v>
      </c>
      <c r="F76" s="2">
        <v>16</v>
      </c>
      <c r="G76" s="8">
        <v>0</v>
      </c>
      <c r="H76" s="10">
        <v>14.63</v>
      </c>
      <c r="I76" s="8">
        <v>12</v>
      </c>
      <c r="J76" s="8"/>
      <c r="K76" s="8"/>
      <c r="M76" s="2">
        <v>15</v>
      </c>
      <c r="N76" s="2">
        <v>19.5</v>
      </c>
      <c r="O76" s="2">
        <v>16</v>
      </c>
      <c r="P76" s="8">
        <f t="shared" si="4"/>
        <v>11.25</v>
      </c>
      <c r="Q76" s="8">
        <f t="shared" si="4"/>
        <v>14.625</v>
      </c>
      <c r="R76" s="8">
        <f t="shared" si="4"/>
        <v>12</v>
      </c>
      <c r="S76" s="8">
        <v>13</v>
      </c>
      <c r="T76" s="8">
        <v>5</v>
      </c>
      <c r="U76" s="11">
        <f t="shared" si="5"/>
        <v>55.875</v>
      </c>
    </row>
  </sheetData>
  <mergeCells count="7">
    <mergeCell ref="P2:R2"/>
    <mergeCell ref="S2:T2"/>
    <mergeCell ref="D1:K1"/>
    <mergeCell ref="D2:F2"/>
    <mergeCell ref="G2:I2"/>
    <mergeCell ref="J2:K2"/>
    <mergeCell ref="M2:O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MuhammadUsmanGhani</dc:creator>
  <cp:keywords/>
  <dc:description/>
  <cp:lastModifiedBy/>
  <cp:revision/>
  <dcterms:created xsi:type="dcterms:W3CDTF">2015-06-05T18:17:20Z</dcterms:created>
  <dcterms:modified xsi:type="dcterms:W3CDTF">2025-02-03T17:10:03Z</dcterms:modified>
  <cp:category/>
  <cp:contentStatus/>
</cp:coreProperties>
</file>